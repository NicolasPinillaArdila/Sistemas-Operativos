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3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4.xml" ContentType="application/vnd.openxmlformats-officedocument.themeOverrid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5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6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7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8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9.xml" ContentType="application/vnd.openxmlformats-officedocument.themeOverrid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0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1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2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3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4.xml" ContentType="application/vnd.openxmlformats-officedocument.themeOverrid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5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6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7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8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9.xml" ContentType="application/vnd.openxmlformats-officedocument.themeOverrid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0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1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2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3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4.xml" ContentType="application/vnd.openxmlformats-officedocument.themeOverrid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5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6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7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8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39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juan_ballesteross_javeriana_edu_co/Documents/"/>
    </mc:Choice>
  </mc:AlternateContent>
  <xr:revisionPtr revIDLastSave="0" documentId="8_{1317213B-27F4-4EFA-A6FF-8ACDC61D6FE7}" xr6:coauthVersionLast="47" xr6:coauthVersionMax="47" xr10:uidLastSave="{00000000-0000-0000-0000-000000000000}"/>
  <bookViews>
    <workbookView xWindow="-120" yWindow="-120" windowWidth="29040" windowHeight="15720" firstSheet="11" activeTab="1" xr2:uid="{00000000-000D-0000-FFFF-FFFF00000000}"/>
  </bookViews>
  <sheets>
    <sheet name="Fork" sheetId="1" r:id="rId1"/>
    <sheet name="Promedios Fork" sheetId="5" r:id="rId2"/>
    <sheet name="OpenMP" sheetId="4" r:id="rId3"/>
    <sheet name="Promedios OpenMP" sheetId="6" r:id="rId4"/>
    <sheet name="Posix" sheetId="13" r:id="rId5"/>
    <sheet name="Promedios Posix" sheetId="7" r:id="rId6"/>
    <sheet name="FilasOpenMP" sheetId="15" r:id="rId7"/>
    <sheet name="Promedios FilasOpenMP" sheetId="17" r:id="rId8"/>
    <sheet name="VM Javeriana Ubuntu 4 hilos" sheetId="9" r:id="rId9"/>
    <sheet name="Replit 8 hilos" sheetId="12" r:id="rId10"/>
    <sheet name="Linux 12 hilos" sheetId="11" r:id="rId11"/>
    <sheet name="Linux 16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8" l="1"/>
  <c r="T8" i="8"/>
  <c r="T9" i="8"/>
  <c r="T10" i="8"/>
  <c r="T6" i="8"/>
  <c r="S7" i="8"/>
  <c r="S8" i="8"/>
  <c r="S9" i="8"/>
  <c r="S10" i="8"/>
  <c r="S6" i="8"/>
  <c r="R7" i="8"/>
  <c r="R8" i="8"/>
  <c r="R9" i="8"/>
  <c r="R10" i="8"/>
  <c r="R6" i="8"/>
  <c r="Q7" i="8"/>
  <c r="Q8" i="8"/>
  <c r="Q9" i="8"/>
  <c r="Q10" i="8"/>
  <c r="Q6" i="8"/>
  <c r="M17" i="8"/>
  <c r="M18" i="8"/>
  <c r="M19" i="8"/>
  <c r="M20" i="8"/>
  <c r="M16" i="8"/>
  <c r="L17" i="8"/>
  <c r="L18" i="8"/>
  <c r="L19" i="8"/>
  <c r="L20" i="8"/>
  <c r="L16" i="8"/>
  <c r="K17" i="8"/>
  <c r="K18" i="8"/>
  <c r="K19" i="8"/>
  <c r="K20" i="8"/>
  <c r="K16" i="8"/>
  <c r="J17" i="8"/>
  <c r="J18" i="8"/>
  <c r="J19" i="8"/>
  <c r="J20" i="8"/>
  <c r="J16" i="8"/>
  <c r="M7" i="8"/>
  <c r="M8" i="8"/>
  <c r="M9" i="8"/>
  <c r="M10" i="8"/>
  <c r="M6" i="8"/>
  <c r="L7" i="8"/>
  <c r="L8" i="8"/>
  <c r="L9" i="8"/>
  <c r="L10" i="8"/>
  <c r="L6" i="8"/>
  <c r="K7" i="8"/>
  <c r="K8" i="8"/>
  <c r="K9" i="8"/>
  <c r="K10" i="8"/>
  <c r="K6" i="8"/>
  <c r="J7" i="8"/>
  <c r="J8" i="8"/>
  <c r="J9" i="8"/>
  <c r="J10" i="8"/>
  <c r="J6" i="8"/>
  <c r="F17" i="8"/>
  <c r="F18" i="8"/>
  <c r="F19" i="8"/>
  <c r="F20" i="8"/>
  <c r="F16" i="8"/>
  <c r="E17" i="8"/>
  <c r="E18" i="8"/>
  <c r="E19" i="8"/>
  <c r="E20" i="8"/>
  <c r="E16" i="8"/>
  <c r="D17" i="8"/>
  <c r="D18" i="8"/>
  <c r="D19" i="8"/>
  <c r="D20" i="8"/>
  <c r="D16" i="8"/>
  <c r="C17" i="8"/>
  <c r="C18" i="8"/>
  <c r="C19" i="8"/>
  <c r="C20" i="8"/>
  <c r="C16" i="8"/>
  <c r="F7" i="8"/>
  <c r="F8" i="8"/>
  <c r="F9" i="8"/>
  <c r="F10" i="8"/>
  <c r="F6" i="8"/>
  <c r="E7" i="8"/>
  <c r="E8" i="8"/>
  <c r="E9" i="8"/>
  <c r="E10" i="8"/>
  <c r="E6" i="8"/>
  <c r="D7" i="8"/>
  <c r="D8" i="8"/>
  <c r="D9" i="8"/>
  <c r="D10" i="8"/>
  <c r="D6" i="8"/>
  <c r="C7" i="8"/>
  <c r="C8" i="8"/>
  <c r="C9" i="8"/>
  <c r="C10" i="8"/>
  <c r="C6" i="8"/>
  <c r="T7" i="11"/>
  <c r="T8" i="11"/>
  <c r="T9" i="11"/>
  <c r="T10" i="11"/>
  <c r="T6" i="11"/>
  <c r="S7" i="11"/>
  <c r="S8" i="11"/>
  <c r="S9" i="11"/>
  <c r="S10" i="11"/>
  <c r="S6" i="11"/>
  <c r="R7" i="11"/>
  <c r="R8" i="11"/>
  <c r="R9" i="11"/>
  <c r="R10" i="11"/>
  <c r="R6" i="11"/>
  <c r="Q7" i="11"/>
  <c r="Q8" i="11"/>
  <c r="Q9" i="11"/>
  <c r="Q10" i="11"/>
  <c r="Q6" i="11"/>
  <c r="M17" i="11"/>
  <c r="M18" i="11"/>
  <c r="M19" i="11"/>
  <c r="M20" i="11"/>
  <c r="M16" i="11"/>
  <c r="L17" i="11"/>
  <c r="L18" i="11"/>
  <c r="L19" i="11"/>
  <c r="L20" i="11"/>
  <c r="L16" i="11"/>
  <c r="K17" i="11"/>
  <c r="K18" i="11"/>
  <c r="K19" i="11"/>
  <c r="K20" i="11"/>
  <c r="K16" i="11"/>
  <c r="J17" i="11"/>
  <c r="J18" i="11"/>
  <c r="J19" i="11"/>
  <c r="J20" i="11"/>
  <c r="J16" i="11"/>
  <c r="M7" i="11"/>
  <c r="M8" i="11"/>
  <c r="M9" i="11"/>
  <c r="M10" i="11"/>
  <c r="M6" i="11"/>
  <c r="L7" i="11"/>
  <c r="L8" i="11"/>
  <c r="L9" i="11"/>
  <c r="L10" i="11"/>
  <c r="L6" i="11"/>
  <c r="K7" i="11"/>
  <c r="K8" i="11"/>
  <c r="K9" i="11"/>
  <c r="K10" i="11"/>
  <c r="K6" i="11"/>
  <c r="J7" i="11"/>
  <c r="J8" i="11"/>
  <c r="J9" i="11"/>
  <c r="J10" i="11"/>
  <c r="J6" i="11"/>
  <c r="F17" i="11"/>
  <c r="F18" i="11"/>
  <c r="F19" i="11"/>
  <c r="F20" i="11"/>
  <c r="F16" i="11"/>
  <c r="E17" i="11"/>
  <c r="E18" i="11"/>
  <c r="E19" i="11"/>
  <c r="E20" i="11"/>
  <c r="E16" i="11"/>
  <c r="D17" i="11"/>
  <c r="D18" i="11"/>
  <c r="D19" i="11"/>
  <c r="D20" i="11"/>
  <c r="D16" i="11"/>
  <c r="C17" i="11"/>
  <c r="C18" i="11"/>
  <c r="C19" i="11"/>
  <c r="C20" i="11"/>
  <c r="C16" i="11"/>
  <c r="F7" i="11"/>
  <c r="F8" i="11"/>
  <c r="F9" i="11"/>
  <c r="F10" i="11"/>
  <c r="F6" i="11"/>
  <c r="E7" i="11"/>
  <c r="E8" i="11"/>
  <c r="E9" i="11"/>
  <c r="E10" i="11"/>
  <c r="E6" i="11"/>
  <c r="D7" i="11"/>
  <c r="D8" i="11"/>
  <c r="D9" i="11"/>
  <c r="D10" i="11"/>
  <c r="D6" i="11"/>
  <c r="C7" i="11"/>
  <c r="C8" i="11"/>
  <c r="C9" i="11"/>
  <c r="C10" i="11"/>
  <c r="C6" i="11"/>
  <c r="M17" i="12"/>
  <c r="M18" i="12"/>
  <c r="M19" i="12"/>
  <c r="M20" i="12"/>
  <c r="M16" i="12"/>
  <c r="L17" i="12"/>
  <c r="L18" i="12"/>
  <c r="L19" i="12"/>
  <c r="L20" i="12"/>
  <c r="L16" i="12"/>
  <c r="K17" i="12"/>
  <c r="K18" i="12"/>
  <c r="K19" i="12"/>
  <c r="K20" i="12"/>
  <c r="K16" i="12"/>
  <c r="J17" i="12"/>
  <c r="J18" i="12"/>
  <c r="J19" i="12"/>
  <c r="J20" i="12"/>
  <c r="J16" i="12"/>
  <c r="T7" i="12"/>
  <c r="T8" i="12"/>
  <c r="T9" i="12"/>
  <c r="T10" i="12"/>
  <c r="T6" i="12"/>
  <c r="S7" i="12"/>
  <c r="S8" i="12"/>
  <c r="S9" i="12"/>
  <c r="S10" i="12"/>
  <c r="S6" i="12"/>
  <c r="R7" i="12"/>
  <c r="R8" i="12"/>
  <c r="R9" i="12"/>
  <c r="R10" i="12"/>
  <c r="R6" i="12"/>
  <c r="R10" i="5"/>
  <c r="Q10" i="12" s="1"/>
  <c r="Q7" i="12"/>
  <c r="Q8" i="12"/>
  <c r="Q9" i="12"/>
  <c r="Q6" i="12"/>
  <c r="M7" i="12"/>
  <c r="M8" i="12"/>
  <c r="M9" i="12"/>
  <c r="M10" i="12"/>
  <c r="M6" i="12"/>
  <c r="L7" i="12"/>
  <c r="L8" i="12"/>
  <c r="L9" i="12"/>
  <c r="L10" i="12"/>
  <c r="L6" i="12"/>
  <c r="J7" i="12"/>
  <c r="J8" i="12"/>
  <c r="J9" i="12"/>
  <c r="J10" i="12"/>
  <c r="K7" i="12"/>
  <c r="K8" i="12"/>
  <c r="K9" i="12"/>
  <c r="K10" i="12"/>
  <c r="K6" i="12"/>
  <c r="J6" i="12"/>
  <c r="F17" i="12"/>
  <c r="F18" i="12"/>
  <c r="F19" i="12"/>
  <c r="F20" i="12"/>
  <c r="F16" i="12"/>
  <c r="E17" i="12"/>
  <c r="E18" i="12"/>
  <c r="E19" i="12"/>
  <c r="E20" i="12"/>
  <c r="E16" i="12"/>
  <c r="D17" i="12"/>
  <c r="D18" i="12"/>
  <c r="D19" i="12"/>
  <c r="D20" i="12"/>
  <c r="D16" i="12"/>
  <c r="C17" i="12"/>
  <c r="C18" i="12"/>
  <c r="C19" i="12"/>
  <c r="C20" i="12"/>
  <c r="C16" i="12"/>
  <c r="F7" i="12"/>
  <c r="F8" i="12"/>
  <c r="F9" i="12"/>
  <c r="F10" i="12"/>
  <c r="F6" i="12"/>
  <c r="E7" i="12"/>
  <c r="E8" i="12"/>
  <c r="E9" i="12"/>
  <c r="E10" i="12"/>
  <c r="E6" i="12"/>
  <c r="D7" i="12"/>
  <c r="D8" i="12"/>
  <c r="D9" i="12"/>
  <c r="D10" i="12"/>
  <c r="D6" i="12"/>
  <c r="C7" i="12"/>
  <c r="C8" i="12"/>
  <c r="C9" i="12"/>
  <c r="C10" i="12"/>
  <c r="C6" i="12"/>
  <c r="T7" i="9"/>
  <c r="T8" i="9"/>
  <c r="T9" i="9"/>
  <c r="T10" i="9"/>
  <c r="T6" i="9"/>
  <c r="S7" i="9"/>
  <c r="S8" i="9"/>
  <c r="S9" i="9"/>
  <c r="S10" i="9"/>
  <c r="S6" i="9"/>
  <c r="R7" i="9"/>
  <c r="R8" i="9"/>
  <c r="R9" i="9"/>
  <c r="R10" i="9"/>
  <c r="R6" i="9"/>
  <c r="Q7" i="9"/>
  <c r="Q8" i="9"/>
  <c r="Q9" i="9"/>
  <c r="Q10" i="9"/>
  <c r="Q6" i="9"/>
  <c r="M17" i="9"/>
  <c r="M18" i="9"/>
  <c r="M19" i="9"/>
  <c r="M20" i="9"/>
  <c r="M16" i="9"/>
  <c r="M7" i="9"/>
  <c r="M8" i="9"/>
  <c r="M9" i="9"/>
  <c r="M10" i="9"/>
  <c r="M6" i="9"/>
  <c r="F17" i="9"/>
  <c r="F18" i="9"/>
  <c r="F19" i="9"/>
  <c r="F20" i="9"/>
  <c r="F16" i="9"/>
  <c r="F7" i="9"/>
  <c r="F8" i="9"/>
  <c r="F9" i="9"/>
  <c r="F10" i="9"/>
  <c r="F6" i="9"/>
  <c r="Q8" i="5"/>
  <c r="Q8" i="6"/>
  <c r="Q8" i="7"/>
  <c r="Q8" i="17"/>
  <c r="T10" i="17"/>
  <c r="T9" i="17"/>
  <c r="T8" i="17"/>
  <c r="T7" i="17"/>
  <c r="T6" i="17"/>
  <c r="S6" i="17"/>
  <c r="R10" i="17"/>
  <c r="S10" i="17"/>
  <c r="S9" i="17"/>
  <c r="S8" i="17"/>
  <c r="S7" i="17"/>
  <c r="R9" i="17"/>
  <c r="R8" i="17"/>
  <c r="R7" i="17"/>
  <c r="R6" i="17"/>
  <c r="Q10" i="17"/>
  <c r="Q9" i="17"/>
  <c r="Q7" i="17"/>
  <c r="Q6" i="17"/>
  <c r="M20" i="6"/>
  <c r="M19" i="6"/>
  <c r="M18" i="6"/>
  <c r="M17" i="6"/>
  <c r="M16" i="6"/>
  <c r="L19" i="6"/>
  <c r="L18" i="6"/>
  <c r="L17" i="6"/>
  <c r="L16" i="6"/>
  <c r="K20" i="6"/>
  <c r="K19" i="6"/>
  <c r="K18" i="6"/>
  <c r="K17" i="6"/>
  <c r="K16" i="6"/>
  <c r="J20" i="6"/>
  <c r="J19" i="6"/>
  <c r="J18" i="6"/>
  <c r="J17" i="6"/>
  <c r="J16" i="6"/>
  <c r="F20" i="6"/>
  <c r="F19" i="6"/>
  <c r="F18" i="6"/>
  <c r="F17" i="6"/>
  <c r="F16" i="6"/>
  <c r="E20" i="6"/>
  <c r="E19" i="6"/>
  <c r="E18" i="6"/>
  <c r="E17" i="6"/>
  <c r="E16" i="6"/>
  <c r="D20" i="6"/>
  <c r="D19" i="6"/>
  <c r="D18" i="6"/>
  <c r="D17" i="6"/>
  <c r="D16" i="6"/>
  <c r="C20" i="6"/>
  <c r="C19" i="6"/>
  <c r="C18" i="6"/>
  <c r="C17" i="6"/>
  <c r="C16" i="6"/>
  <c r="T10" i="6"/>
  <c r="T9" i="6"/>
  <c r="T8" i="6"/>
  <c r="T7" i="6"/>
  <c r="T6" i="6"/>
  <c r="S10" i="6"/>
  <c r="S9" i="6"/>
  <c r="S8" i="6"/>
  <c r="S7" i="6"/>
  <c r="S6" i="6"/>
  <c r="R10" i="6"/>
  <c r="R9" i="6"/>
  <c r="R8" i="6"/>
  <c r="R7" i="6"/>
  <c r="R6" i="6"/>
  <c r="Q10" i="6"/>
  <c r="Q9" i="6"/>
  <c r="Q7" i="6"/>
  <c r="Q6" i="6"/>
  <c r="M10" i="6"/>
  <c r="M9" i="6"/>
  <c r="M8" i="6"/>
  <c r="M7" i="6"/>
  <c r="M6" i="6"/>
  <c r="L10" i="6"/>
  <c r="L9" i="6"/>
  <c r="L8" i="6"/>
  <c r="L7" i="6"/>
  <c r="L6" i="6"/>
  <c r="K10" i="6"/>
  <c r="K9" i="6"/>
  <c r="K8" i="6"/>
  <c r="K7" i="6"/>
  <c r="K6" i="6"/>
  <c r="J10" i="6"/>
  <c r="J9" i="6"/>
  <c r="J8" i="6"/>
  <c r="J7" i="6"/>
  <c r="J6" i="6"/>
  <c r="F10" i="6"/>
  <c r="F9" i="6"/>
  <c r="F8" i="6"/>
  <c r="F7" i="6"/>
  <c r="F6" i="6"/>
  <c r="E10" i="6"/>
  <c r="E9" i="6"/>
  <c r="E8" i="6"/>
  <c r="E7" i="6"/>
  <c r="E6" i="6"/>
  <c r="D10" i="6"/>
  <c r="D9" i="6"/>
  <c r="D8" i="6"/>
  <c r="D7" i="6"/>
  <c r="D6" i="6"/>
  <c r="C10" i="6"/>
  <c r="C9" i="6"/>
  <c r="C8" i="6"/>
  <c r="C7" i="6"/>
  <c r="C6" i="6"/>
  <c r="M20" i="7"/>
  <c r="M19" i="7"/>
  <c r="M18" i="7"/>
  <c r="M17" i="7"/>
  <c r="M16" i="7"/>
  <c r="L20" i="7"/>
  <c r="L19" i="7"/>
  <c r="L18" i="7"/>
  <c r="L17" i="7"/>
  <c r="L16" i="7"/>
  <c r="K20" i="7"/>
  <c r="K19" i="7"/>
  <c r="K18" i="7"/>
  <c r="K17" i="7"/>
  <c r="K16" i="7"/>
  <c r="J20" i="7"/>
  <c r="L20" i="9" s="1"/>
  <c r="J19" i="7"/>
  <c r="J18" i="7"/>
  <c r="J17" i="7"/>
  <c r="J16" i="7"/>
  <c r="F20" i="7"/>
  <c r="F19" i="7"/>
  <c r="F18" i="7"/>
  <c r="F17" i="7"/>
  <c r="F16" i="7"/>
  <c r="E20" i="7"/>
  <c r="E19" i="7"/>
  <c r="E18" i="7"/>
  <c r="E17" i="7"/>
  <c r="E16" i="7"/>
  <c r="D20" i="7"/>
  <c r="D19" i="7"/>
  <c r="D18" i="7"/>
  <c r="D17" i="7"/>
  <c r="D16" i="7"/>
  <c r="C20" i="7"/>
  <c r="E20" i="9" s="1"/>
  <c r="C19" i="7"/>
  <c r="C18" i="7"/>
  <c r="C17" i="7"/>
  <c r="C16" i="7"/>
  <c r="T10" i="7"/>
  <c r="T9" i="7"/>
  <c r="T8" i="7"/>
  <c r="T7" i="7"/>
  <c r="T6" i="7"/>
  <c r="S10" i="7"/>
  <c r="S9" i="7"/>
  <c r="S8" i="7"/>
  <c r="S7" i="7"/>
  <c r="S6" i="7"/>
  <c r="R10" i="7"/>
  <c r="R9" i="7"/>
  <c r="R8" i="7"/>
  <c r="R7" i="7"/>
  <c r="R6" i="7"/>
  <c r="Q10" i="7"/>
  <c r="Q9" i="7"/>
  <c r="Q7" i="7"/>
  <c r="Q6" i="7"/>
  <c r="M10" i="7"/>
  <c r="M9" i="7"/>
  <c r="M8" i="7"/>
  <c r="M7" i="7"/>
  <c r="M6" i="7"/>
  <c r="L10" i="7"/>
  <c r="L9" i="7"/>
  <c r="L8" i="7"/>
  <c r="L7" i="7"/>
  <c r="L6" i="7"/>
  <c r="K10" i="7"/>
  <c r="K9" i="7"/>
  <c r="K8" i="7"/>
  <c r="K7" i="7"/>
  <c r="K6" i="7"/>
  <c r="J10" i="7"/>
  <c r="L10" i="9" s="1"/>
  <c r="J9" i="7"/>
  <c r="J8" i="7"/>
  <c r="J7" i="7"/>
  <c r="J6" i="7"/>
  <c r="F10" i="7"/>
  <c r="F9" i="7"/>
  <c r="F8" i="7"/>
  <c r="F7" i="7"/>
  <c r="F6" i="7"/>
  <c r="E10" i="7"/>
  <c r="E9" i="7"/>
  <c r="E8" i="7"/>
  <c r="E7" i="7"/>
  <c r="E6" i="7"/>
  <c r="D10" i="7"/>
  <c r="D9" i="7"/>
  <c r="D8" i="7"/>
  <c r="D7" i="7"/>
  <c r="D6" i="7"/>
  <c r="C10" i="7"/>
  <c r="C9" i="7"/>
  <c r="C8" i="7"/>
  <c r="C7" i="7"/>
  <c r="C6" i="7"/>
  <c r="M20" i="17"/>
  <c r="M19" i="17"/>
  <c r="M18" i="17"/>
  <c r="M17" i="17"/>
  <c r="M16" i="17"/>
  <c r="L20" i="17"/>
  <c r="L19" i="17"/>
  <c r="L18" i="17"/>
  <c r="L17" i="17"/>
  <c r="L16" i="17"/>
  <c r="Y180" i="15"/>
  <c r="K20" i="17"/>
  <c r="K19" i="17"/>
  <c r="K18" i="17"/>
  <c r="K17" i="17"/>
  <c r="K16" i="17"/>
  <c r="J19" i="17"/>
  <c r="J18" i="17"/>
  <c r="J17" i="17"/>
  <c r="J16" i="17"/>
  <c r="F20" i="17"/>
  <c r="F19" i="17"/>
  <c r="F18" i="17"/>
  <c r="F17" i="17"/>
  <c r="F16" i="17"/>
  <c r="E20" i="17"/>
  <c r="E19" i="17"/>
  <c r="E18" i="17"/>
  <c r="E17" i="17"/>
  <c r="E16" i="17"/>
  <c r="D20" i="17"/>
  <c r="D19" i="17"/>
  <c r="D18" i="17"/>
  <c r="D17" i="17"/>
  <c r="D16" i="17"/>
  <c r="C20" i="17"/>
  <c r="C19" i="17"/>
  <c r="C18" i="17"/>
  <c r="C17" i="17"/>
  <c r="C16" i="17"/>
  <c r="M10" i="17"/>
  <c r="M9" i="17"/>
  <c r="M8" i="17"/>
  <c r="M7" i="17"/>
  <c r="M6" i="17"/>
  <c r="L10" i="17"/>
  <c r="L9" i="17"/>
  <c r="L8" i="17"/>
  <c r="L7" i="17"/>
  <c r="L6" i="17"/>
  <c r="K10" i="17"/>
  <c r="K9" i="17"/>
  <c r="K8" i="17"/>
  <c r="K7" i="17"/>
  <c r="K6" i="17"/>
  <c r="J10" i="17"/>
  <c r="J9" i="17"/>
  <c r="J8" i="17"/>
  <c r="J7" i="17"/>
  <c r="J6" i="17"/>
  <c r="F10" i="17"/>
  <c r="F9" i="17"/>
  <c r="F8" i="17"/>
  <c r="F7" i="17"/>
  <c r="F6" i="17"/>
  <c r="E10" i="17"/>
  <c r="E9" i="17"/>
  <c r="E8" i="17"/>
  <c r="E7" i="17"/>
  <c r="E6" i="17"/>
  <c r="D10" i="17"/>
  <c r="D9" i="17"/>
  <c r="D7" i="17"/>
  <c r="D6" i="17"/>
  <c r="C10" i="17"/>
  <c r="C9" i="17"/>
  <c r="C8" i="17"/>
  <c r="C6" i="17"/>
  <c r="C7" i="17"/>
  <c r="L17" i="9"/>
  <c r="L19" i="9"/>
  <c r="E9" i="9"/>
  <c r="E10" i="9"/>
  <c r="L20" i="5"/>
  <c r="K20" i="5"/>
  <c r="J20" i="5"/>
  <c r="K19" i="5"/>
  <c r="F20" i="5"/>
  <c r="E20" i="5"/>
  <c r="D19" i="5"/>
  <c r="F19" i="5"/>
  <c r="E19" i="5"/>
  <c r="C19" i="5"/>
  <c r="F18" i="5"/>
  <c r="E18" i="5"/>
  <c r="D18" i="5"/>
  <c r="C18" i="5"/>
  <c r="F17" i="5"/>
  <c r="E17" i="5"/>
  <c r="D17" i="5"/>
  <c r="C17" i="5"/>
  <c r="F16" i="5"/>
  <c r="E16" i="5"/>
  <c r="D16" i="5"/>
  <c r="C16" i="5"/>
  <c r="T10" i="5"/>
  <c r="S10" i="5"/>
  <c r="Q10" i="5"/>
  <c r="T9" i="5"/>
  <c r="S9" i="5"/>
  <c r="R9" i="5"/>
  <c r="Q9" i="5"/>
  <c r="T8" i="5"/>
  <c r="S8" i="5"/>
  <c r="R8" i="5"/>
  <c r="Q7" i="5"/>
  <c r="T7" i="5"/>
  <c r="S7" i="5"/>
  <c r="R7" i="5"/>
  <c r="T6" i="5"/>
  <c r="S6" i="5"/>
  <c r="R6" i="5"/>
  <c r="Q6" i="5"/>
  <c r="L6" i="5"/>
  <c r="K6" i="5"/>
  <c r="M10" i="5"/>
  <c r="L10" i="5"/>
  <c r="K10" i="5"/>
  <c r="J10" i="5"/>
  <c r="M9" i="5"/>
  <c r="L9" i="5"/>
  <c r="K9" i="5"/>
  <c r="J9" i="5"/>
  <c r="M8" i="5"/>
  <c r="L8" i="5"/>
  <c r="K8" i="5"/>
  <c r="J8" i="5"/>
  <c r="M7" i="5"/>
  <c r="L7" i="5"/>
  <c r="K7" i="5"/>
  <c r="J7" i="5"/>
  <c r="M6" i="5"/>
  <c r="J6" i="5"/>
  <c r="M20" i="5"/>
  <c r="M19" i="5"/>
  <c r="M18" i="5"/>
  <c r="M17" i="5"/>
  <c r="M16" i="5"/>
  <c r="L19" i="5"/>
  <c r="L18" i="5"/>
  <c r="L17" i="5"/>
  <c r="L16" i="5"/>
  <c r="K18" i="5"/>
  <c r="K17" i="5"/>
  <c r="K16" i="5"/>
  <c r="J19" i="5"/>
  <c r="J18" i="5"/>
  <c r="J17" i="5"/>
  <c r="J16" i="5"/>
  <c r="D20" i="5"/>
  <c r="C20" i="5"/>
  <c r="F10" i="5"/>
  <c r="F9" i="5"/>
  <c r="F8" i="5"/>
  <c r="F7" i="5"/>
  <c r="F6" i="5"/>
  <c r="E10" i="5"/>
  <c r="E9" i="5"/>
  <c r="E8" i="5"/>
  <c r="E7" i="5"/>
  <c r="E6" i="5"/>
  <c r="D10" i="5"/>
  <c r="D9" i="5"/>
  <c r="D8" i="5"/>
  <c r="D7" i="5"/>
  <c r="D6" i="5"/>
  <c r="C10" i="5"/>
  <c r="C9" i="5"/>
  <c r="C8" i="5"/>
  <c r="C7" i="5"/>
  <c r="C6" i="5"/>
  <c r="C36" i="1"/>
  <c r="B180" i="15"/>
  <c r="C180" i="15"/>
  <c r="D180" i="15"/>
  <c r="E180" i="15"/>
  <c r="G180" i="15"/>
  <c r="H180" i="15"/>
  <c r="I180" i="15"/>
  <c r="J180" i="15"/>
  <c r="L180" i="15"/>
  <c r="M180" i="15"/>
  <c r="N180" i="15"/>
  <c r="O180" i="15"/>
  <c r="Q180" i="15"/>
  <c r="R180" i="15"/>
  <c r="S180" i="15"/>
  <c r="T180" i="15"/>
  <c r="V180" i="15"/>
  <c r="J20" i="17" s="1"/>
  <c r="W180" i="15"/>
  <c r="X180" i="15"/>
  <c r="B144" i="15"/>
  <c r="C144" i="15"/>
  <c r="D144" i="15"/>
  <c r="E144" i="15"/>
  <c r="G144" i="15"/>
  <c r="H144" i="15"/>
  <c r="I144" i="15"/>
  <c r="J144" i="15"/>
  <c r="L144" i="15"/>
  <c r="M144" i="15"/>
  <c r="N144" i="15"/>
  <c r="O144" i="15"/>
  <c r="Q144" i="15"/>
  <c r="R144" i="15"/>
  <c r="S144" i="15"/>
  <c r="T144" i="15"/>
  <c r="V144" i="15"/>
  <c r="W144" i="15"/>
  <c r="X144" i="15"/>
  <c r="Y144" i="15"/>
  <c r="B108" i="15"/>
  <c r="C108" i="15"/>
  <c r="D108" i="15"/>
  <c r="E108" i="15"/>
  <c r="G108" i="15"/>
  <c r="H108" i="15"/>
  <c r="I108" i="15"/>
  <c r="J108" i="15"/>
  <c r="L108" i="15"/>
  <c r="M108" i="15"/>
  <c r="N108" i="15"/>
  <c r="O108" i="15"/>
  <c r="Q108" i="15"/>
  <c r="R108" i="15"/>
  <c r="S108" i="15"/>
  <c r="T108" i="15"/>
  <c r="V108" i="15"/>
  <c r="W108" i="15"/>
  <c r="X108" i="15"/>
  <c r="Y108" i="15"/>
  <c r="B72" i="15"/>
  <c r="C72" i="15"/>
  <c r="E72" i="15"/>
  <c r="G72" i="15"/>
  <c r="H72" i="15"/>
  <c r="J72" i="15"/>
  <c r="L72" i="15"/>
  <c r="M72" i="15"/>
  <c r="O72" i="15"/>
  <c r="Q72" i="15"/>
  <c r="R72" i="15"/>
  <c r="T72" i="15"/>
  <c r="V72" i="15"/>
  <c r="W72" i="15"/>
  <c r="X72" i="15"/>
  <c r="Y72" i="15"/>
  <c r="B36" i="15"/>
  <c r="C36" i="15"/>
  <c r="D36" i="15"/>
  <c r="E36" i="15"/>
  <c r="G36" i="15"/>
  <c r="H36" i="15"/>
  <c r="J36" i="15"/>
  <c r="L36" i="15"/>
  <c r="M36" i="15"/>
  <c r="D8" i="17" s="1"/>
  <c r="O36" i="15"/>
  <c r="Q36" i="15"/>
  <c r="R36" i="15"/>
  <c r="T36" i="15"/>
  <c r="V36" i="15"/>
  <c r="W36" i="15"/>
  <c r="Y36" i="15"/>
  <c r="B180" i="13"/>
  <c r="C180" i="13"/>
  <c r="D180" i="13"/>
  <c r="E180" i="13"/>
  <c r="G180" i="13"/>
  <c r="H180" i="13"/>
  <c r="I180" i="13"/>
  <c r="J180" i="13"/>
  <c r="L180" i="13"/>
  <c r="M180" i="13"/>
  <c r="N180" i="13"/>
  <c r="O180" i="13"/>
  <c r="Q180" i="13"/>
  <c r="R180" i="13"/>
  <c r="S180" i="13"/>
  <c r="T180" i="13"/>
  <c r="V180" i="13"/>
  <c r="W180" i="13"/>
  <c r="X180" i="13"/>
  <c r="Y180" i="13"/>
  <c r="B144" i="13"/>
  <c r="C144" i="13"/>
  <c r="D144" i="13"/>
  <c r="E144" i="13"/>
  <c r="G144" i="13"/>
  <c r="H144" i="13"/>
  <c r="I144" i="13"/>
  <c r="J144" i="13"/>
  <c r="L144" i="13"/>
  <c r="M144" i="13"/>
  <c r="N144" i="13"/>
  <c r="O144" i="13"/>
  <c r="Q144" i="13"/>
  <c r="R144" i="13"/>
  <c r="S144" i="13"/>
  <c r="T144" i="13"/>
  <c r="V144" i="13"/>
  <c r="W144" i="13"/>
  <c r="X144" i="13"/>
  <c r="Y144" i="13"/>
  <c r="B108" i="13"/>
  <c r="C108" i="13"/>
  <c r="D108" i="13"/>
  <c r="E108" i="13"/>
  <c r="G108" i="13"/>
  <c r="H108" i="13"/>
  <c r="I108" i="13"/>
  <c r="J108" i="13"/>
  <c r="L108" i="13"/>
  <c r="M108" i="13"/>
  <c r="N108" i="13"/>
  <c r="O108" i="13"/>
  <c r="Q108" i="13"/>
  <c r="R108" i="13"/>
  <c r="S108" i="13"/>
  <c r="T108" i="13"/>
  <c r="V108" i="13"/>
  <c r="W108" i="13"/>
  <c r="X108" i="13"/>
  <c r="Y108" i="13"/>
  <c r="B72" i="13"/>
  <c r="C72" i="13"/>
  <c r="E72" i="13"/>
  <c r="G72" i="13"/>
  <c r="H72" i="13"/>
  <c r="J72" i="13"/>
  <c r="L72" i="13"/>
  <c r="M72" i="13"/>
  <c r="O72" i="13"/>
  <c r="Q72" i="13"/>
  <c r="R72" i="13"/>
  <c r="T72" i="13"/>
  <c r="V72" i="13"/>
  <c r="W72" i="13"/>
  <c r="X72" i="13"/>
  <c r="Y72" i="13"/>
  <c r="B36" i="13"/>
  <c r="C36" i="13"/>
  <c r="D36" i="13"/>
  <c r="E36" i="13"/>
  <c r="G36" i="13"/>
  <c r="H36" i="13"/>
  <c r="J36" i="13"/>
  <c r="L36" i="13"/>
  <c r="M36" i="13"/>
  <c r="O36" i="13"/>
  <c r="Q36" i="13"/>
  <c r="R36" i="13"/>
  <c r="T36" i="13"/>
  <c r="V36" i="13"/>
  <c r="W36" i="13"/>
  <c r="Y36" i="13"/>
  <c r="L18" i="9"/>
  <c r="E17" i="9"/>
  <c r="L6" i="9"/>
  <c r="E6" i="9"/>
  <c r="E7" i="9"/>
  <c r="L7" i="9"/>
  <c r="D36" i="4"/>
  <c r="Y180" i="4"/>
  <c r="X180" i="4"/>
  <c r="L20" i="6" s="1"/>
  <c r="W180" i="4"/>
  <c r="V180" i="4"/>
  <c r="T180" i="4"/>
  <c r="S180" i="4"/>
  <c r="R180" i="4"/>
  <c r="Q180" i="4"/>
  <c r="O180" i="4"/>
  <c r="N180" i="4"/>
  <c r="M180" i="4"/>
  <c r="L180" i="4"/>
  <c r="J180" i="4"/>
  <c r="I180" i="4"/>
  <c r="H180" i="4"/>
  <c r="G180" i="4"/>
  <c r="E180" i="4"/>
  <c r="D180" i="4"/>
  <c r="C180" i="4"/>
  <c r="B180" i="4"/>
  <c r="B180" i="1"/>
  <c r="C180" i="1"/>
  <c r="D180" i="1"/>
  <c r="E180" i="1"/>
  <c r="G180" i="1"/>
  <c r="H180" i="1"/>
  <c r="I180" i="1"/>
  <c r="J180" i="1"/>
  <c r="L180" i="1"/>
  <c r="M180" i="1"/>
  <c r="N180" i="1"/>
  <c r="O180" i="1"/>
  <c r="Q180" i="1"/>
  <c r="R180" i="1"/>
  <c r="S180" i="1"/>
  <c r="T180" i="1"/>
  <c r="V180" i="1"/>
  <c r="W180" i="1"/>
  <c r="X180" i="1"/>
  <c r="Y180" i="1"/>
  <c r="J36" i="1"/>
  <c r="O36" i="1"/>
  <c r="D36" i="1"/>
  <c r="E36" i="1"/>
  <c r="B36" i="1"/>
  <c r="C6" i="9" s="1"/>
  <c r="C10" i="9"/>
  <c r="D10" i="9"/>
  <c r="J10" i="9"/>
  <c r="K10" i="9"/>
  <c r="C20" i="9"/>
  <c r="D20" i="9"/>
  <c r="J20" i="9"/>
  <c r="K20" i="9"/>
  <c r="E19" i="9"/>
  <c r="E18" i="9"/>
  <c r="L16" i="9"/>
  <c r="E16" i="9"/>
  <c r="L9" i="9"/>
  <c r="L8" i="9"/>
  <c r="E8" i="9"/>
  <c r="S108" i="4"/>
  <c r="D108" i="4"/>
  <c r="Y144" i="4"/>
  <c r="X144" i="4"/>
  <c r="W144" i="4"/>
  <c r="V144" i="4"/>
  <c r="Y108" i="4"/>
  <c r="X108" i="4"/>
  <c r="W108" i="4"/>
  <c r="V108" i="4"/>
  <c r="Y72" i="4"/>
  <c r="X72" i="4"/>
  <c r="W72" i="4"/>
  <c r="V72" i="4"/>
  <c r="Y36" i="4"/>
  <c r="W36" i="4"/>
  <c r="V36" i="4"/>
  <c r="O144" i="4"/>
  <c r="O108" i="4"/>
  <c r="O72" i="4"/>
  <c r="O36" i="4"/>
  <c r="W144" i="1"/>
  <c r="X144" i="1"/>
  <c r="Y144" i="1"/>
  <c r="V144" i="1"/>
  <c r="R144" i="1"/>
  <c r="S144" i="1"/>
  <c r="T144" i="1"/>
  <c r="Q144" i="1"/>
  <c r="L144" i="1"/>
  <c r="M144" i="1"/>
  <c r="N144" i="1"/>
  <c r="O144" i="1"/>
  <c r="G144" i="1"/>
  <c r="J17" i="9" s="1"/>
  <c r="H144" i="1"/>
  <c r="I144" i="1"/>
  <c r="J144" i="1"/>
  <c r="C144" i="1"/>
  <c r="D144" i="1"/>
  <c r="E144" i="1"/>
  <c r="B144" i="1"/>
  <c r="J16" i="9" s="1"/>
  <c r="V108" i="1"/>
  <c r="W108" i="1"/>
  <c r="X108" i="1"/>
  <c r="Y108" i="1"/>
  <c r="R108" i="1"/>
  <c r="S108" i="1"/>
  <c r="T108" i="1"/>
  <c r="Q108" i="1"/>
  <c r="N108" i="1"/>
  <c r="M108" i="1"/>
  <c r="O108" i="1"/>
  <c r="L108" i="1"/>
  <c r="C18" i="9" s="1"/>
  <c r="H108" i="1"/>
  <c r="I108" i="1"/>
  <c r="J108" i="1"/>
  <c r="G108" i="1"/>
  <c r="C17" i="9" s="1"/>
  <c r="C108" i="1"/>
  <c r="D108" i="1"/>
  <c r="E108" i="1"/>
  <c r="B108" i="1"/>
  <c r="C16" i="9" s="1"/>
  <c r="W72" i="1"/>
  <c r="X72" i="1"/>
  <c r="Y72" i="1"/>
  <c r="V72" i="1"/>
  <c r="Q72" i="1"/>
  <c r="J9" i="9" s="1"/>
  <c r="R72" i="1"/>
  <c r="S72" i="1"/>
  <c r="T72" i="1"/>
  <c r="M72" i="1"/>
  <c r="N72" i="1"/>
  <c r="O72" i="1"/>
  <c r="L72" i="1"/>
  <c r="J8" i="9" s="1"/>
  <c r="H72" i="1"/>
  <c r="I72" i="1"/>
  <c r="J72" i="1"/>
  <c r="G72" i="1"/>
  <c r="J7" i="9" s="1"/>
  <c r="C72" i="1"/>
  <c r="D72" i="1"/>
  <c r="E72" i="1"/>
  <c r="B72" i="1"/>
  <c r="J6" i="9" s="1"/>
  <c r="Y36" i="1"/>
  <c r="W36" i="1"/>
  <c r="X36" i="1"/>
  <c r="V36" i="1"/>
  <c r="R36" i="1"/>
  <c r="S36" i="1"/>
  <c r="T36" i="1"/>
  <c r="Q36" i="1"/>
  <c r="L36" i="1"/>
  <c r="C8" i="9" s="1"/>
  <c r="M36" i="1"/>
  <c r="N36" i="1"/>
  <c r="H36" i="1"/>
  <c r="I36" i="1"/>
  <c r="G36" i="1"/>
  <c r="C7" i="9" s="1"/>
  <c r="R144" i="4"/>
  <c r="S144" i="4"/>
  <c r="T144" i="4"/>
  <c r="Q144" i="4"/>
  <c r="K19" i="9" s="1"/>
  <c r="M144" i="4"/>
  <c r="N144" i="4"/>
  <c r="L144" i="4"/>
  <c r="H144" i="4"/>
  <c r="I144" i="4"/>
  <c r="G144" i="4"/>
  <c r="K17" i="9" s="1"/>
  <c r="C144" i="4"/>
  <c r="D144" i="4"/>
  <c r="E144" i="4"/>
  <c r="B144" i="4"/>
  <c r="K16" i="9" s="1"/>
  <c r="R108" i="4"/>
  <c r="T108" i="4"/>
  <c r="Q108" i="4"/>
  <c r="D19" i="9" s="1"/>
  <c r="M108" i="4"/>
  <c r="L108" i="4"/>
  <c r="D18" i="9" s="1"/>
  <c r="H108" i="4"/>
  <c r="I108" i="4"/>
  <c r="J108" i="4"/>
  <c r="G108" i="4"/>
  <c r="D17" i="9" s="1"/>
  <c r="C108" i="4"/>
  <c r="E108" i="4"/>
  <c r="B108" i="4"/>
  <c r="D16" i="9" s="1"/>
  <c r="T72" i="4"/>
  <c r="R72" i="4"/>
  <c r="Q72" i="4"/>
  <c r="K9" i="9" s="1"/>
  <c r="L72" i="4"/>
  <c r="K8" i="9" s="1"/>
  <c r="M72" i="4"/>
  <c r="H72" i="4"/>
  <c r="J72" i="4"/>
  <c r="G72" i="4"/>
  <c r="C72" i="4"/>
  <c r="E72" i="4"/>
  <c r="B72" i="4"/>
  <c r="K6" i="9" s="1"/>
  <c r="R36" i="4"/>
  <c r="T36" i="4"/>
  <c r="H36" i="4"/>
  <c r="M36" i="4"/>
  <c r="J36" i="4"/>
  <c r="Q36" i="4"/>
  <c r="L36" i="4"/>
  <c r="G36" i="4"/>
  <c r="D7" i="9" s="1"/>
  <c r="C36" i="4"/>
  <c r="E36" i="4"/>
  <c r="B36" i="4"/>
  <c r="N108" i="4"/>
  <c r="J144" i="4"/>
  <c r="D9" i="9" l="1"/>
  <c r="D8" i="9"/>
  <c r="K18" i="9"/>
  <c r="D6" i="9"/>
  <c r="K7" i="9"/>
  <c r="C19" i="9"/>
  <c r="C9" i="9"/>
  <c r="J18" i="9"/>
  <c r="J19" i="9"/>
</calcChain>
</file>

<file path=xl/sharedStrings.xml><?xml version="1.0" encoding="utf-8"?>
<sst xmlns="http://schemas.openxmlformats.org/spreadsheetml/2006/main" count="900" uniqueCount="49">
  <si>
    <t>ClasicaFork</t>
  </si>
  <si>
    <t>Tamaño Matriz: 50    Hilos:1</t>
  </si>
  <si>
    <t>Tamaño Matriz:50     Hilos:2</t>
  </si>
  <si>
    <t>Tamaño Matriz:50     Hilos:4</t>
  </si>
  <si>
    <t>Tamaño Matriz:50     Hilos:8</t>
  </si>
  <si>
    <t>Tamaño Matriz:50     Hilos:10</t>
  </si>
  <si>
    <t>VM Javeriana Ubuntu 4 hilos</t>
  </si>
  <si>
    <t>Replit 8 hilos</t>
  </si>
  <si>
    <t>Subsistema de Windows para Linux (Ubuntu) 12 hilos</t>
  </si>
  <si>
    <t>Subsistema de Windows para Linux (Ubuntu) 16 hilos</t>
  </si>
  <si>
    <t>Promedio</t>
  </si>
  <si>
    <t>Tamaño Matriz: 100    Hilos:1</t>
  </si>
  <si>
    <t>Tamaño Matriz:100     Hilos:2</t>
  </si>
  <si>
    <t>Tamaño Matriz:100     Hilos:4</t>
  </si>
  <si>
    <t>Tamaño Matriz:100     Hilos:8</t>
  </si>
  <si>
    <t>Tamaño Matriz:100     Hilos:10</t>
  </si>
  <si>
    <t>Tamaño Matriz: 500    Hilos:1</t>
  </si>
  <si>
    <t>Tamaño Matriz:500     Hilos:2</t>
  </si>
  <si>
    <t>Tamaño Matriz:500     Hilos:4</t>
  </si>
  <si>
    <t>Tamaño Matriz:500     Hilos:8</t>
  </si>
  <si>
    <t>Tamaño Matriz:500     Hilos:10</t>
  </si>
  <si>
    <t>Tamaño Matriz: 1000    Hilos:1</t>
  </si>
  <si>
    <t>Tamaño Matriz:1000     Hilos:2</t>
  </si>
  <si>
    <t>Tamaño Matriz:1000     Hilos:4</t>
  </si>
  <si>
    <t>Tamaño Matriz:1000     Hilos:8</t>
  </si>
  <si>
    <t>Tamaño Matriz:1000     Hilos:0</t>
  </si>
  <si>
    <t>Tamaño Matriz: 1500    Hilos:1</t>
  </si>
  <si>
    <t>Tamaño Matriz:1500     Hilos:2</t>
  </si>
  <si>
    <t>Tamaño Matriz:1500     Hilos:4</t>
  </si>
  <si>
    <t>Tamaño Matriz:1500     Hilos:8</t>
  </si>
  <si>
    <t>Tamaño Matriz:1500     Hilos:10</t>
  </si>
  <si>
    <t>PROMEDIOS PARA MATRIZ 50x50</t>
  </si>
  <si>
    <t>PROMEDIOS PARA MATRIZ 100x100</t>
  </si>
  <si>
    <t>PROMEDIOS PARA MATRIZ 500x500</t>
  </si>
  <si>
    <t>SISTEMA OPERATIVO</t>
  </si>
  <si>
    <t># de Hilos</t>
  </si>
  <si>
    <t>PROMEDIOS PARA MATRIZ 1000x1000</t>
  </si>
  <si>
    <t>PROMEDIOS PARA MATRIZ 1500x1500</t>
  </si>
  <si>
    <t>ClasicaOpenMP</t>
  </si>
  <si>
    <t>ClasicaPosix</t>
  </si>
  <si>
    <t>Tamaño Matriz:1000     Hilos:10</t>
  </si>
  <si>
    <t>filasOpenMP</t>
  </si>
  <si>
    <t>ALGORITMO</t>
  </si>
  <si>
    <t># Hilos</t>
  </si>
  <si>
    <t>FORK</t>
  </si>
  <si>
    <t>OPENMP</t>
  </si>
  <si>
    <t>POSIX</t>
  </si>
  <si>
    <t>FilasOpenMp</t>
  </si>
  <si>
    <t>FilasOpenMP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</si>
</sst>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ms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164" fontId="1" fillId="2" borderId="0" xfId="0" applyNumberFormat="1" applyFont="1" applyFill="1"/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 vertical="center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164" fontId="0" fillId="2" borderId="9" xfId="0" applyNumberForma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1" fillId="0" borderId="0" xfId="0" applyNumberFormat="1" applyFont="1" applyAlignment="1">
      <alignment vertical="center" textRotation="90" wrapText="1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1" fillId="0" borderId="16" xfId="0" applyNumberFormat="1" applyFont="1" applyBorder="1" applyAlignment="1">
      <alignment vertical="center" wrapText="1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1" fillId="0" borderId="1" xfId="0" applyNumberFormat="1" applyFont="1" applyBorder="1" applyAlignment="1">
      <alignment vertical="center" wrapText="1"/>
    </xf>
    <xf numFmtId="164" fontId="0" fillId="0" borderId="27" xfId="0" applyNumberFormat="1" applyBorder="1" applyAlignment="1">
      <alignment horizontal="center" vertical="center" wrapText="1"/>
    </xf>
    <xf numFmtId="164" fontId="0" fillId="0" borderId="34" xfId="0" applyNumberForma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0" fillId="0" borderId="35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1" fillId="3" borderId="0" xfId="0" applyNumberFormat="1" applyFont="1" applyFill="1" applyAlignment="1">
      <alignment vertical="center"/>
    </xf>
    <xf numFmtId="164" fontId="0" fillId="0" borderId="41" xfId="0" applyNumberFormat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0" fillId="0" borderId="42" xfId="0" applyNumberFormat="1" applyBorder="1" applyAlignment="1">
      <alignment horizontal="center" vertical="center" wrapText="1"/>
    </xf>
    <xf numFmtId="164" fontId="0" fillId="0" borderId="47" xfId="0" applyNumberFormat="1" applyBorder="1" applyAlignment="1">
      <alignment horizontal="center" vertical="center" wrapText="1"/>
    </xf>
    <xf numFmtId="164" fontId="0" fillId="0" borderId="48" xfId="0" applyNumberFormat="1" applyBorder="1" applyAlignment="1">
      <alignment horizontal="center" vertical="center" wrapText="1"/>
    </xf>
    <xf numFmtId="164" fontId="0" fillId="0" borderId="49" xfId="0" applyNumberFormat="1" applyBorder="1" applyAlignment="1">
      <alignment horizontal="center" vertical="center" wrapText="1"/>
    </xf>
    <xf numFmtId="164" fontId="1" fillId="0" borderId="12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 wrapText="1"/>
    </xf>
    <xf numFmtId="164" fontId="1" fillId="0" borderId="32" xfId="0" applyNumberFormat="1" applyFont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 vertical="center" wrapText="1"/>
    </xf>
    <xf numFmtId="164" fontId="1" fillId="4" borderId="12" xfId="0" applyNumberFormat="1" applyFont="1" applyFill="1" applyBorder="1" applyAlignment="1">
      <alignment horizontal="center" vertical="center"/>
    </xf>
    <xf numFmtId="164" fontId="1" fillId="4" borderId="13" xfId="0" applyNumberFormat="1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164" fontId="1" fillId="4" borderId="44" xfId="0" applyNumberFormat="1" applyFont="1" applyFill="1" applyBorder="1" applyAlignment="1">
      <alignment horizontal="center" vertical="center"/>
    </xf>
    <xf numFmtId="164" fontId="1" fillId="4" borderId="45" xfId="0" applyNumberFormat="1" applyFont="1" applyFill="1" applyBorder="1" applyAlignment="1">
      <alignment horizontal="center" vertical="center"/>
    </xf>
    <xf numFmtId="164" fontId="1" fillId="4" borderId="46" xfId="0" applyNumberFormat="1" applyFont="1" applyFill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1" fillId="4" borderId="16" xfId="0" applyNumberFormat="1" applyFont="1" applyFill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 50x50</a:t>
            </a:r>
          </a:p>
        </c:rich>
      </c:tx>
      <c:layout>
        <c:manualLayout>
          <c:xMode val="edge"/>
          <c:yMode val="edge"/>
          <c:x val="0.1735112568619821"/>
          <c:y val="3.0666839218319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Fork'!$C$5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Fork'!$B$6:$B$10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Fork'!$C$6:$C$10</c:f>
              <c:numCache>
                <c:formatCode>#,##0\ "ms"</c:formatCode>
                <c:ptCount val="5"/>
                <c:pt idx="0">
                  <c:v>1244.4000000000001</c:v>
                </c:pt>
                <c:pt idx="1">
                  <c:v>868</c:v>
                </c:pt>
                <c:pt idx="2">
                  <c:v>966.9</c:v>
                </c:pt>
                <c:pt idx="3">
                  <c:v>1172.5999999999999</c:v>
                </c:pt>
                <c:pt idx="4">
                  <c:v>1305.2666666666667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4-4267-86DF-B9D9434475CD}"/>
            </c:ext>
          </c:extLst>
        </c:ser>
        <c:ser>
          <c:idx val="1"/>
          <c:order val="1"/>
          <c:tx>
            <c:strRef>
              <c:f>'Promedios Fork'!$D$5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Fork'!$B$6:$B$10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Fork'!$D$6:$D$10</c:f>
              <c:numCache>
                <c:formatCode>#,##0\ "ms"</c:formatCode>
                <c:ptCount val="5"/>
                <c:pt idx="0">
                  <c:v>320.46666666666664</c:v>
                </c:pt>
                <c:pt idx="1">
                  <c:v>351.96666666666664</c:v>
                </c:pt>
                <c:pt idx="2">
                  <c:v>853.8</c:v>
                </c:pt>
                <c:pt idx="3">
                  <c:v>1446.2666666666667</c:v>
                </c:pt>
                <c:pt idx="4">
                  <c:v>1439.1333333333334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4-4267-86DF-B9D9434475CD}"/>
            </c:ext>
          </c:extLst>
        </c:ser>
        <c:ser>
          <c:idx val="2"/>
          <c:order val="2"/>
          <c:tx>
            <c:strRef>
              <c:f>'Promedios Fork'!$E$5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Fork'!$B$6:$B$10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Fork'!$E$6:$E$10</c:f>
              <c:numCache>
                <c:formatCode>#,##0\ "ms"</c:formatCode>
                <c:ptCount val="5"/>
                <c:pt idx="0">
                  <c:v>415.63333333333333</c:v>
                </c:pt>
                <c:pt idx="1">
                  <c:v>360.66666666666669</c:v>
                </c:pt>
                <c:pt idx="2">
                  <c:v>447.63333333333333</c:v>
                </c:pt>
                <c:pt idx="3">
                  <c:v>697.76666666666665</c:v>
                </c:pt>
                <c:pt idx="4">
                  <c:v>805.63333333333333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04-4267-86DF-B9D9434475CD}"/>
            </c:ext>
          </c:extLst>
        </c:ser>
        <c:ser>
          <c:idx val="3"/>
          <c:order val="3"/>
          <c:tx>
            <c:strRef>
              <c:f>'Promedios Fork'!$F$5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Fork'!$B$6:$B$10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Fork'!$F$6:$F$10</c:f>
              <c:numCache>
                <c:formatCode>#,##0\ "ms"</c:formatCode>
                <c:ptCount val="5"/>
                <c:pt idx="0">
                  <c:v>1515.7333333333333</c:v>
                </c:pt>
                <c:pt idx="1">
                  <c:v>1332.1</c:v>
                </c:pt>
                <c:pt idx="2">
                  <c:v>1635.9666666666667</c:v>
                </c:pt>
                <c:pt idx="3">
                  <c:v>2715</c:v>
                </c:pt>
                <c:pt idx="4">
                  <c:v>2417.3000000000002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04-4267-86DF-B9D943447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100x100</a:t>
            </a:r>
          </a:p>
        </c:rich>
      </c:tx>
      <c:layout>
        <c:manualLayout>
          <c:xMode val="edge"/>
          <c:yMode val="edge"/>
          <c:x val="0.25397199683845506"/>
          <c:y val="2.0624754713519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Fork'!$J$5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Fork'!$I$6:$I$10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Fork'!$J$6:$J$10</c:f>
              <c:numCache>
                <c:formatCode>#,##0\ "ms"</c:formatCode>
                <c:ptCount val="5"/>
                <c:pt idx="0">
                  <c:v>5867.9666666666662</c:v>
                </c:pt>
                <c:pt idx="1">
                  <c:v>3364.7666666666669</c:v>
                </c:pt>
                <c:pt idx="2">
                  <c:v>2350.8000000000002</c:v>
                </c:pt>
                <c:pt idx="3">
                  <c:v>2743.4666666666667</c:v>
                </c:pt>
                <c:pt idx="4">
                  <c:v>2458.3666666666668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1-4776-8DD6-1D0AA9AF6BBC}"/>
            </c:ext>
          </c:extLst>
        </c:ser>
        <c:ser>
          <c:idx val="1"/>
          <c:order val="1"/>
          <c:tx>
            <c:strRef>
              <c:f>'Promedios Fork'!$K$5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Fork'!$I$6:$I$10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Fork'!$K$6:$K$10</c:f>
              <c:numCache>
                <c:formatCode>#,##0\ "ms"</c:formatCode>
                <c:ptCount val="5"/>
                <c:pt idx="0">
                  <c:v>975.06666666666672</c:v>
                </c:pt>
                <c:pt idx="1">
                  <c:v>881.2</c:v>
                </c:pt>
                <c:pt idx="2">
                  <c:v>770.1</c:v>
                </c:pt>
                <c:pt idx="3">
                  <c:v>2088.9333333333334</c:v>
                </c:pt>
                <c:pt idx="4">
                  <c:v>2502.8333333333335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C1-4776-8DD6-1D0AA9AF6BBC}"/>
            </c:ext>
          </c:extLst>
        </c:ser>
        <c:ser>
          <c:idx val="2"/>
          <c:order val="2"/>
          <c:tx>
            <c:strRef>
              <c:f>'Promedios Fork'!$L$5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Fork'!$I$6:$I$10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Fork'!$L$6:$L$10</c:f>
              <c:numCache>
                <c:formatCode>#,##0\ "ms"</c:formatCode>
                <c:ptCount val="5"/>
                <c:pt idx="0">
                  <c:v>2033.7333333333333</c:v>
                </c:pt>
                <c:pt idx="1">
                  <c:v>1260.6666666666667</c:v>
                </c:pt>
                <c:pt idx="2">
                  <c:v>1055.5333333333333</c:v>
                </c:pt>
                <c:pt idx="3">
                  <c:v>1031.8666666666666</c:v>
                </c:pt>
                <c:pt idx="4">
                  <c:v>1153.7666666666667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C1-4776-8DD6-1D0AA9AF6BBC}"/>
            </c:ext>
          </c:extLst>
        </c:ser>
        <c:ser>
          <c:idx val="3"/>
          <c:order val="3"/>
          <c:tx>
            <c:strRef>
              <c:f>'Promedios Fork'!$M$5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Fork'!$I$6:$I$10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Fork'!$M$6:$M$10</c:f>
              <c:numCache>
                <c:formatCode>#,##0\ "ms"</c:formatCode>
                <c:ptCount val="5"/>
                <c:pt idx="0">
                  <c:v>4495.7</c:v>
                </c:pt>
                <c:pt idx="1">
                  <c:v>3054.8666666666668</c:v>
                </c:pt>
                <c:pt idx="2">
                  <c:v>2673.3</c:v>
                </c:pt>
                <c:pt idx="3">
                  <c:v>2881.6333333333332</c:v>
                </c:pt>
                <c:pt idx="4">
                  <c:v>2620.8000000000002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C1-4776-8DD6-1D0AA9AF6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 1000x1000</a:t>
            </a:r>
          </a:p>
        </c:rich>
      </c:tx>
      <c:layout>
        <c:manualLayout>
          <c:xMode val="edge"/>
          <c:yMode val="edge"/>
          <c:x val="0.27888627309657782"/>
          <c:y val="2.396990210915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Fork'!$C$15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Fork'!$B$16:$B$20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Fork'!$C$16:$C$20</c:f>
              <c:numCache>
                <c:formatCode>#,##0\ "ms"</c:formatCode>
                <c:ptCount val="5"/>
                <c:pt idx="0">
                  <c:v>4976830.4333333336</c:v>
                </c:pt>
                <c:pt idx="1">
                  <c:v>2384519.5333333332</c:v>
                </c:pt>
                <c:pt idx="2">
                  <c:v>1083383.5666666667</c:v>
                </c:pt>
                <c:pt idx="3">
                  <c:v>1127360.3999999999</c:v>
                </c:pt>
                <c:pt idx="4">
                  <c:v>1083518.1000000001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C-424D-82C0-6C94266404A2}"/>
            </c:ext>
          </c:extLst>
        </c:ser>
        <c:ser>
          <c:idx val="1"/>
          <c:order val="1"/>
          <c:tx>
            <c:strRef>
              <c:f>'Promedios Fork'!$D$15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Fork'!$B$16:$B$20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Fork'!$D$16:$D$20</c:f>
              <c:numCache>
                <c:formatCode>#,##0\ "ms"</c:formatCode>
                <c:ptCount val="5"/>
                <c:pt idx="0">
                  <c:v>933810.43333333335</c:v>
                </c:pt>
                <c:pt idx="1">
                  <c:v>935846.16666666663</c:v>
                </c:pt>
                <c:pt idx="2">
                  <c:v>1038730.3666666667</c:v>
                </c:pt>
                <c:pt idx="3">
                  <c:v>1087144.6333333333</c:v>
                </c:pt>
                <c:pt idx="4">
                  <c:v>1087144.6333333333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1C-424D-82C0-6C94266404A2}"/>
            </c:ext>
          </c:extLst>
        </c:ser>
        <c:ser>
          <c:idx val="2"/>
          <c:order val="2"/>
          <c:tx>
            <c:strRef>
              <c:f>'Promedios Fork'!$E$15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Fork'!$B$16:$B$20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Fork'!$E$16:$E$20</c:f>
              <c:numCache>
                <c:formatCode>#,##0\ "ms"</c:formatCode>
                <c:ptCount val="5"/>
                <c:pt idx="0">
                  <c:v>2003101.6666666667</c:v>
                </c:pt>
                <c:pt idx="1">
                  <c:v>1098625.6333333333</c:v>
                </c:pt>
                <c:pt idx="2">
                  <c:v>650771.6333333333</c:v>
                </c:pt>
                <c:pt idx="3">
                  <c:v>451495.8</c:v>
                </c:pt>
                <c:pt idx="4">
                  <c:v>400235.76666666666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1C-424D-82C0-6C94266404A2}"/>
            </c:ext>
          </c:extLst>
        </c:ser>
        <c:ser>
          <c:idx val="3"/>
          <c:order val="3"/>
          <c:tx>
            <c:strRef>
              <c:f>'Promedios Fork'!$F$15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Fork'!$B$16:$B$20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Fork'!$F$16:$F$20</c:f>
              <c:numCache>
                <c:formatCode>#,##0\ "ms"</c:formatCode>
                <c:ptCount val="5"/>
                <c:pt idx="0">
                  <c:v>4180449.8666666667</c:v>
                </c:pt>
                <c:pt idx="1">
                  <c:v>2340885.8666666667</c:v>
                </c:pt>
                <c:pt idx="2">
                  <c:v>1558779.4</c:v>
                </c:pt>
                <c:pt idx="3">
                  <c:v>1033402</c:v>
                </c:pt>
                <c:pt idx="4">
                  <c:v>939460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1C-424D-82C0-6C9426640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 500x500</a:t>
            </a:r>
          </a:p>
        </c:rich>
      </c:tx>
      <c:layout>
        <c:manualLayout>
          <c:xMode val="edge"/>
          <c:yMode val="edge"/>
          <c:x val="0.12691856240144339"/>
          <c:y val="2.0624754713519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Fork'!$Q$5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Fork'!$P$6:$P$10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Fork'!$Q$6:$Q$10</c:f>
              <c:numCache>
                <c:formatCode>#,##0\ "ms"</c:formatCode>
                <c:ptCount val="5"/>
                <c:pt idx="0">
                  <c:v>501042.96666666667</c:v>
                </c:pt>
                <c:pt idx="1">
                  <c:v>250653.76666666666</c:v>
                </c:pt>
                <c:pt idx="2">
                  <c:v>130419.63333333333</c:v>
                </c:pt>
                <c:pt idx="3">
                  <c:v>132673.13333333333</c:v>
                </c:pt>
                <c:pt idx="4">
                  <c:v>130487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46-4489-A557-9B43818FEAEA}"/>
            </c:ext>
          </c:extLst>
        </c:ser>
        <c:ser>
          <c:idx val="1"/>
          <c:order val="1"/>
          <c:tx>
            <c:strRef>
              <c:f>'Promedios Fork'!$R$5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Fork'!$P$6:$P$10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Fork'!$R$6:$R$10</c:f>
              <c:numCache>
                <c:formatCode>#,##0\ "ms"</c:formatCode>
                <c:ptCount val="5"/>
                <c:pt idx="0">
                  <c:v>117021.36666666667</c:v>
                </c:pt>
                <c:pt idx="1">
                  <c:v>110748.93333333333</c:v>
                </c:pt>
                <c:pt idx="2">
                  <c:v>129553.1</c:v>
                </c:pt>
                <c:pt idx="3">
                  <c:v>126029.13333333333</c:v>
                </c:pt>
                <c:pt idx="4">
                  <c:v>134010.23333333334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46-4489-A557-9B43818FEAEA}"/>
            </c:ext>
          </c:extLst>
        </c:ser>
        <c:ser>
          <c:idx val="2"/>
          <c:order val="2"/>
          <c:tx>
            <c:strRef>
              <c:f>'Promedios Fork'!$S$5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Fork'!$P$6:$P$10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Fork'!$S$6:$S$10</c:f>
              <c:numCache>
                <c:formatCode>#,##0\ "ms"</c:formatCode>
                <c:ptCount val="5"/>
                <c:pt idx="0">
                  <c:v>229871.3</c:v>
                </c:pt>
                <c:pt idx="1">
                  <c:v>158720.79999999999</c:v>
                </c:pt>
                <c:pt idx="2">
                  <c:v>76144.566666666666</c:v>
                </c:pt>
                <c:pt idx="3">
                  <c:v>46780.466666666667</c:v>
                </c:pt>
                <c:pt idx="4">
                  <c:v>39158.833333333336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46-4489-A557-9B43818FEAEA}"/>
            </c:ext>
          </c:extLst>
        </c:ser>
        <c:ser>
          <c:idx val="3"/>
          <c:order val="3"/>
          <c:tx>
            <c:strRef>
              <c:f>'Promedios Fork'!$T$5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Fork'!$P$6:$P$10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Fork'!$T$6:$T$10</c:f>
              <c:numCache>
                <c:formatCode>#,##0\ "ms"</c:formatCode>
                <c:ptCount val="5"/>
                <c:pt idx="0">
                  <c:v>443143.23333333334</c:v>
                </c:pt>
                <c:pt idx="1">
                  <c:v>246170.03333333333</c:v>
                </c:pt>
                <c:pt idx="2">
                  <c:v>147761.43333333332</c:v>
                </c:pt>
                <c:pt idx="3">
                  <c:v>97015.666666666672</c:v>
                </c:pt>
                <c:pt idx="4">
                  <c:v>83724.566666666666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46-4489-A557-9B43818FE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1500x1500</a:t>
            </a:r>
          </a:p>
        </c:rich>
      </c:tx>
      <c:layout>
        <c:manualLayout>
          <c:xMode val="edge"/>
          <c:yMode val="edge"/>
          <c:x val="0.14979599540070626"/>
          <c:y val="2.0624892554041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Fork'!$J$15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Fork'!$I$16:$I$20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Fork'!$J$16:$J$20</c:f>
              <c:numCache>
                <c:formatCode>#,##0\ "ms"</c:formatCode>
                <c:ptCount val="5"/>
                <c:pt idx="0">
                  <c:v>21002910.166666668</c:v>
                </c:pt>
                <c:pt idx="1">
                  <c:v>10312810.033333333</c:v>
                </c:pt>
                <c:pt idx="2">
                  <c:v>5042021.166666667</c:v>
                </c:pt>
                <c:pt idx="3">
                  <c:v>4308623.7</c:v>
                </c:pt>
                <c:pt idx="4">
                  <c:v>4555716.2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A2-44AF-8F18-260F1E82DBF8}"/>
            </c:ext>
          </c:extLst>
        </c:ser>
        <c:ser>
          <c:idx val="1"/>
          <c:order val="1"/>
          <c:tx>
            <c:strRef>
              <c:f>'Promedios Fork'!$K$15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Fork'!$I$16:$I$20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Fork'!$K$16:$K$20</c:f>
              <c:numCache>
                <c:formatCode>#,##0\ "ms"</c:formatCode>
                <c:ptCount val="5"/>
                <c:pt idx="0">
                  <c:v>5172375.3</c:v>
                </c:pt>
                <c:pt idx="1">
                  <c:v>4930737.666666667</c:v>
                </c:pt>
                <c:pt idx="2">
                  <c:v>4705963.3</c:v>
                </c:pt>
                <c:pt idx="3">
                  <c:v>4827072.5999999996</c:v>
                </c:pt>
                <c:pt idx="4">
                  <c:v>4872267.0666666664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A2-44AF-8F18-260F1E82DBF8}"/>
            </c:ext>
          </c:extLst>
        </c:ser>
        <c:ser>
          <c:idx val="2"/>
          <c:order val="2"/>
          <c:tx>
            <c:strRef>
              <c:f>'Promedios Fork'!$L$15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Fork'!$I$16:$I$20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Fork'!$L$16:$L$20</c:f>
              <c:numCache>
                <c:formatCode>#,##0\ "ms"</c:formatCode>
                <c:ptCount val="5"/>
                <c:pt idx="0">
                  <c:v>8489286.3000000007</c:v>
                </c:pt>
                <c:pt idx="1">
                  <c:v>4827584.5</c:v>
                </c:pt>
                <c:pt idx="2">
                  <c:v>2882152.8</c:v>
                </c:pt>
                <c:pt idx="3">
                  <c:v>1983089.6333333333</c:v>
                </c:pt>
                <c:pt idx="4">
                  <c:v>1951863.8666666667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A2-44AF-8F18-260F1E82DBF8}"/>
            </c:ext>
          </c:extLst>
        </c:ser>
        <c:ser>
          <c:idx val="3"/>
          <c:order val="3"/>
          <c:tx>
            <c:strRef>
              <c:f>'Promedios Fork'!$M$15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Fork'!$I$16:$I$20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Fork'!$M$16:$M$20</c:f>
              <c:numCache>
                <c:formatCode>#,##0\ "ms"</c:formatCode>
                <c:ptCount val="5"/>
                <c:pt idx="0">
                  <c:v>17842644.466666665</c:v>
                </c:pt>
                <c:pt idx="1">
                  <c:v>9457510.0666666664</c:v>
                </c:pt>
                <c:pt idx="2">
                  <c:v>6161716.833333333</c:v>
                </c:pt>
                <c:pt idx="3">
                  <c:v>4556697.2666666666</c:v>
                </c:pt>
                <c:pt idx="4">
                  <c:v>4475665.5333333332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A2-44AF-8F18-260F1E82D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50x50</a:t>
            </a:r>
          </a:p>
        </c:rich>
      </c:tx>
      <c:layout>
        <c:manualLayout>
          <c:xMode val="edge"/>
          <c:yMode val="edge"/>
          <c:x val="0.16740266123720915"/>
          <c:y val="2.3811304090368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OpenMP'!$C$5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OpenMP'!$C$6:$C$10</c:f>
              <c:numCache>
                <c:formatCode>#,##0\ "ms"</c:formatCode>
                <c:ptCount val="5"/>
                <c:pt idx="0">
                  <c:v>574.73333333333335</c:v>
                </c:pt>
                <c:pt idx="1">
                  <c:v>376.73333333333335</c:v>
                </c:pt>
                <c:pt idx="2">
                  <c:v>832.13333333333333</c:v>
                </c:pt>
                <c:pt idx="3">
                  <c:v>700.7</c:v>
                </c:pt>
                <c:pt idx="4">
                  <c:v>710.5333333333333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8-45C3-B705-7B19BCE1CA1D}"/>
            </c:ext>
          </c:extLst>
        </c:ser>
        <c:ser>
          <c:idx val="1"/>
          <c:order val="1"/>
          <c:tx>
            <c:strRef>
              <c:f>'Promedios OpenMP'!$D$5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OpenMP'!$D$6:$D$10</c:f>
              <c:numCache>
                <c:formatCode>#,##0\ "ms"</c:formatCode>
                <c:ptCount val="5"/>
                <c:pt idx="0">
                  <c:v>77.13333333333334</c:v>
                </c:pt>
                <c:pt idx="1">
                  <c:v>432.6</c:v>
                </c:pt>
                <c:pt idx="2">
                  <c:v>1354</c:v>
                </c:pt>
                <c:pt idx="3">
                  <c:v>466.93333333333334</c:v>
                </c:pt>
                <c:pt idx="4">
                  <c:v>590.16666666666663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8-45C3-B705-7B19BCE1CA1D}"/>
            </c:ext>
          </c:extLst>
        </c:ser>
        <c:ser>
          <c:idx val="2"/>
          <c:order val="2"/>
          <c:tx>
            <c:strRef>
              <c:f>'Promedios OpenMP'!$E$5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OpenMP'!$E$6:$E$10</c:f>
              <c:numCache>
                <c:formatCode>#,##0\ "ms"</c:formatCode>
                <c:ptCount val="5"/>
                <c:pt idx="0">
                  <c:v>257.93333333333334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58-45C3-B705-7B19BCE1CA1D}"/>
            </c:ext>
          </c:extLst>
        </c:ser>
        <c:ser>
          <c:idx val="3"/>
          <c:order val="3"/>
          <c:tx>
            <c:strRef>
              <c:f>'Promedios OpenMP'!$F$5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OpenMP'!$F$6:$F$10</c:f>
              <c:numCache>
                <c:formatCode>#,##0\ "ms"</c:formatCode>
                <c:ptCount val="5"/>
                <c:pt idx="0">
                  <c:v>346.13333333333333</c:v>
                </c:pt>
                <c:pt idx="1">
                  <c:v>577.76666666666665</c:v>
                </c:pt>
                <c:pt idx="2">
                  <c:v>662.5333333333333</c:v>
                </c:pt>
                <c:pt idx="3">
                  <c:v>1169.0333333333333</c:v>
                </c:pt>
                <c:pt idx="4">
                  <c:v>1366.1333333333334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58-45C3-B705-7B19BCE1C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OpenMP'!$J$5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OpenMP'!$J$6:$J$10</c:f>
              <c:numCache>
                <c:formatCode>#,##0\ "ms"</c:formatCode>
                <c:ptCount val="5"/>
                <c:pt idx="0">
                  <c:v>4236.0333333333338</c:v>
                </c:pt>
                <c:pt idx="1">
                  <c:v>2920.7666666666669</c:v>
                </c:pt>
                <c:pt idx="2">
                  <c:v>1913.5</c:v>
                </c:pt>
                <c:pt idx="3">
                  <c:v>1657.4666666666667</c:v>
                </c:pt>
                <c:pt idx="4">
                  <c:v>1717.2666666666667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3D-4A77-80CF-81243167AB3E}"/>
            </c:ext>
          </c:extLst>
        </c:ser>
        <c:ser>
          <c:idx val="1"/>
          <c:order val="1"/>
          <c:tx>
            <c:strRef>
              <c:f>'Promedios OpenMP'!$K$5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OpenMP'!$K$6:$K$10</c:f>
              <c:numCache>
                <c:formatCode>#,##0\ "ms"</c:formatCode>
                <c:ptCount val="5"/>
                <c:pt idx="0">
                  <c:v>680.56666666666672</c:v>
                </c:pt>
                <c:pt idx="1">
                  <c:v>459.5</c:v>
                </c:pt>
                <c:pt idx="2">
                  <c:v>3501.5</c:v>
                </c:pt>
                <c:pt idx="3">
                  <c:v>963.13333333333333</c:v>
                </c:pt>
                <c:pt idx="4">
                  <c:v>692.76666666666665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3D-4A77-80CF-81243167AB3E}"/>
            </c:ext>
          </c:extLst>
        </c:ser>
        <c:ser>
          <c:idx val="2"/>
          <c:order val="2"/>
          <c:tx>
            <c:strRef>
              <c:f>'Promedios OpenMP'!$L$5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OpenMP'!$L$6:$L$10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713.4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3D-4A77-80CF-81243167AB3E}"/>
            </c:ext>
          </c:extLst>
        </c:ser>
        <c:ser>
          <c:idx val="3"/>
          <c:order val="3"/>
          <c:tx>
            <c:strRef>
              <c:f>'Promedios OpenMP'!$M$5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OpenMP'!$M$6:$M$10</c:f>
              <c:numCache>
                <c:formatCode>#,##0\ "ms"</c:formatCode>
                <c:ptCount val="5"/>
                <c:pt idx="0">
                  <c:v>3094.3</c:v>
                </c:pt>
                <c:pt idx="1">
                  <c:v>2271.0666666666666</c:v>
                </c:pt>
                <c:pt idx="2">
                  <c:v>1904.2333333333333</c:v>
                </c:pt>
                <c:pt idx="3">
                  <c:v>1791.6666666666667</c:v>
                </c:pt>
                <c:pt idx="4">
                  <c:v>2043.3666666666666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3D-4A77-80CF-81243167A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500x500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OpenMP'!$Q$5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OpenMP'!$Q$6:$Q$10</c:f>
              <c:numCache>
                <c:formatCode>#,##0\ "ms"</c:formatCode>
                <c:ptCount val="5"/>
                <c:pt idx="0">
                  <c:v>484101</c:v>
                </c:pt>
                <c:pt idx="1">
                  <c:v>254878.1</c:v>
                </c:pt>
                <c:pt idx="2">
                  <c:v>357137.06666666665</c:v>
                </c:pt>
                <c:pt idx="3">
                  <c:v>362235.6</c:v>
                </c:pt>
                <c:pt idx="4">
                  <c:v>341844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9-4288-8C1D-1C26B64329D6}"/>
            </c:ext>
          </c:extLst>
        </c:ser>
        <c:ser>
          <c:idx val="1"/>
          <c:order val="1"/>
          <c:tx>
            <c:strRef>
              <c:f>'Promedios OpenMP'!$R$5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OpenMP'!$R$6:$R$10</c:f>
              <c:numCache>
                <c:formatCode>#,##0\ "ms"</c:formatCode>
                <c:ptCount val="5"/>
                <c:pt idx="0">
                  <c:v>115084.53333333334</c:v>
                </c:pt>
                <c:pt idx="1">
                  <c:v>114101.03333333334</c:v>
                </c:pt>
                <c:pt idx="2">
                  <c:v>133641.79999999999</c:v>
                </c:pt>
                <c:pt idx="3">
                  <c:v>115451.33333333333</c:v>
                </c:pt>
                <c:pt idx="4">
                  <c:v>122604.6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59-4288-8C1D-1C26B64329D6}"/>
            </c:ext>
          </c:extLst>
        </c:ser>
        <c:ser>
          <c:idx val="2"/>
          <c:order val="2"/>
          <c:tx>
            <c:strRef>
              <c:f>'Promedios OpenMP'!$S$5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OpenMP'!$S$6:$S$10</c:f>
              <c:numCache>
                <c:formatCode>#,##0\ "ms"</c:formatCode>
                <c:ptCount val="5"/>
                <c:pt idx="0">
                  <c:v>242046.93333333332</c:v>
                </c:pt>
                <c:pt idx="1">
                  <c:v>122834.13333333333</c:v>
                </c:pt>
                <c:pt idx="2">
                  <c:v>78625.666666666672</c:v>
                </c:pt>
                <c:pt idx="3">
                  <c:v>49512.566666666666</c:v>
                </c:pt>
                <c:pt idx="4">
                  <c:v>41767.9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59-4288-8C1D-1C26B64329D6}"/>
            </c:ext>
          </c:extLst>
        </c:ser>
        <c:ser>
          <c:idx val="3"/>
          <c:order val="3"/>
          <c:tx>
            <c:strRef>
              <c:f>'Promedios OpenMP'!$T$5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OpenMP'!$T$6:$T$10</c:f>
              <c:numCache>
                <c:formatCode>#,##0\ "ms"</c:formatCode>
                <c:ptCount val="5"/>
                <c:pt idx="0">
                  <c:v>599782.03333333333</c:v>
                </c:pt>
                <c:pt idx="1">
                  <c:v>303497.86666666664</c:v>
                </c:pt>
                <c:pt idx="2">
                  <c:v>188760</c:v>
                </c:pt>
                <c:pt idx="3">
                  <c:v>109972.9</c:v>
                </c:pt>
                <c:pt idx="4">
                  <c:v>85268.333333333328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59-4288-8C1D-1C26B6432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1000x1000</a:t>
            </a:r>
          </a:p>
        </c:rich>
      </c:tx>
      <c:layout>
        <c:manualLayout>
          <c:xMode val="edge"/>
          <c:yMode val="edge"/>
          <c:x val="0.16216422533329181"/>
          <c:y val="2.396990210915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OpenMP'!$C$15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OpenMP'!$C$16:$C$20</c:f>
              <c:numCache>
                <c:formatCode>#,##0\ "ms"</c:formatCode>
                <c:ptCount val="5"/>
                <c:pt idx="0">
                  <c:v>4916429.8666666662</c:v>
                </c:pt>
                <c:pt idx="1">
                  <c:v>2440560.1</c:v>
                </c:pt>
                <c:pt idx="2">
                  <c:v>1073268.5666666667</c:v>
                </c:pt>
                <c:pt idx="3">
                  <c:v>1067125.9666666666</c:v>
                </c:pt>
                <c:pt idx="4">
                  <c:v>1053042.9333333333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2-44AC-A4B7-0F711C42685E}"/>
            </c:ext>
          </c:extLst>
        </c:ser>
        <c:ser>
          <c:idx val="1"/>
          <c:order val="1"/>
          <c:tx>
            <c:strRef>
              <c:f>'Promedios OpenMP'!$D$15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OpenMP'!$D$16:$D$20</c:f>
              <c:numCache>
                <c:formatCode>#,##0\ "ms"</c:formatCode>
                <c:ptCount val="5"/>
                <c:pt idx="0">
                  <c:v>1002872.1666666666</c:v>
                </c:pt>
                <c:pt idx="1">
                  <c:v>958215.93333333335</c:v>
                </c:pt>
                <c:pt idx="2">
                  <c:v>1019348.0333333333</c:v>
                </c:pt>
                <c:pt idx="3">
                  <c:v>1058403.3333333333</c:v>
                </c:pt>
                <c:pt idx="4">
                  <c:v>1058403.3333333333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02-44AC-A4B7-0F711C42685E}"/>
            </c:ext>
          </c:extLst>
        </c:ser>
        <c:ser>
          <c:idx val="2"/>
          <c:order val="2"/>
          <c:tx>
            <c:strRef>
              <c:f>'Promedios OpenMP'!$E$15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OpenMP'!$E$16:$E$20</c:f>
              <c:numCache>
                <c:formatCode>#,##0\ "ms"</c:formatCode>
                <c:ptCount val="5"/>
                <c:pt idx="0">
                  <c:v>2258262</c:v>
                </c:pt>
                <c:pt idx="1">
                  <c:v>1227186.3666666667</c:v>
                </c:pt>
                <c:pt idx="2">
                  <c:v>704286.93333333335</c:v>
                </c:pt>
                <c:pt idx="3">
                  <c:v>454524.76666666666</c:v>
                </c:pt>
                <c:pt idx="4">
                  <c:v>396629.96666666667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02-44AC-A4B7-0F711C42685E}"/>
            </c:ext>
          </c:extLst>
        </c:ser>
        <c:ser>
          <c:idx val="3"/>
          <c:order val="3"/>
          <c:tx>
            <c:strRef>
              <c:f>'Promedios OpenMP'!$F$15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OpenMP'!$F$16:$F$20</c:f>
              <c:numCache>
                <c:formatCode>#,##0\ "ms"</c:formatCode>
                <c:ptCount val="5"/>
                <c:pt idx="0">
                  <c:v>4412261.4333333336</c:v>
                </c:pt>
                <c:pt idx="1">
                  <c:v>2330266.6333333333</c:v>
                </c:pt>
                <c:pt idx="2">
                  <c:v>1597333.7</c:v>
                </c:pt>
                <c:pt idx="3">
                  <c:v>1120623.4666666666</c:v>
                </c:pt>
                <c:pt idx="4">
                  <c:v>1041796.3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02-44AC-A4B7-0F711C42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1500x1500</a:t>
            </a:r>
          </a:p>
        </c:rich>
      </c:tx>
      <c:layout>
        <c:manualLayout>
          <c:xMode val="edge"/>
          <c:yMode val="edge"/>
          <c:x val="0.12315095989677276"/>
          <c:y val="2.062482053697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OpenMP'!$J$15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OpenMP'!$J$16:$J$20</c:f>
              <c:numCache>
                <c:formatCode>#,##0\ "ms"</c:formatCode>
                <c:ptCount val="5"/>
                <c:pt idx="0">
                  <c:v>20248773.899999999</c:v>
                </c:pt>
                <c:pt idx="1">
                  <c:v>9968618.8666666672</c:v>
                </c:pt>
                <c:pt idx="2">
                  <c:v>5080173.5</c:v>
                </c:pt>
                <c:pt idx="3">
                  <c:v>4076102.2666666666</c:v>
                </c:pt>
                <c:pt idx="4">
                  <c:v>4365250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C3-4C11-8D25-A58F9C5B2D39}"/>
            </c:ext>
          </c:extLst>
        </c:ser>
        <c:ser>
          <c:idx val="1"/>
          <c:order val="1"/>
          <c:tx>
            <c:strRef>
              <c:f>'Promedios OpenMP'!$K$15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OpenMP'!$K$16:$K$20</c:f>
              <c:numCache>
                <c:formatCode>#,##0\ "ms"</c:formatCode>
                <c:ptCount val="5"/>
                <c:pt idx="0">
                  <c:v>5420694.4333333336</c:v>
                </c:pt>
                <c:pt idx="1">
                  <c:v>4888161.8</c:v>
                </c:pt>
                <c:pt idx="2">
                  <c:v>4620711.3</c:v>
                </c:pt>
                <c:pt idx="3">
                  <c:v>4802868.8</c:v>
                </c:pt>
                <c:pt idx="4">
                  <c:v>4796286.1333333338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C3-4C11-8D25-A58F9C5B2D39}"/>
            </c:ext>
          </c:extLst>
        </c:ser>
        <c:ser>
          <c:idx val="2"/>
          <c:order val="2"/>
          <c:tx>
            <c:strRef>
              <c:f>'Promedios OpenMP'!$L$15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OpenMP'!$L$16:$L$20</c:f>
              <c:numCache>
                <c:formatCode>#,##0\ "ms"</c:formatCode>
                <c:ptCount val="5"/>
                <c:pt idx="0">
                  <c:v>8806190.5666666664</c:v>
                </c:pt>
                <c:pt idx="1">
                  <c:v>4849300</c:v>
                </c:pt>
                <c:pt idx="2">
                  <c:v>2886995.7</c:v>
                </c:pt>
                <c:pt idx="3">
                  <c:v>1940096.3333333333</c:v>
                </c:pt>
                <c:pt idx="4">
                  <c:v>1796019.8666666667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C3-4C11-8D25-A58F9C5B2D39}"/>
            </c:ext>
          </c:extLst>
        </c:ser>
        <c:ser>
          <c:idx val="3"/>
          <c:order val="3"/>
          <c:tx>
            <c:strRef>
              <c:f>'Promedios OpenMP'!$M$15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OpenMP'!$M$16:$M$20</c:f>
              <c:numCache>
                <c:formatCode>#,##0\ "ms"</c:formatCode>
                <c:ptCount val="5"/>
                <c:pt idx="0">
                  <c:v>21492527.866666667</c:v>
                </c:pt>
                <c:pt idx="1">
                  <c:v>11311298.766666668</c:v>
                </c:pt>
                <c:pt idx="2">
                  <c:v>6688440.5666666664</c:v>
                </c:pt>
                <c:pt idx="3">
                  <c:v>4957719</c:v>
                </c:pt>
                <c:pt idx="4">
                  <c:v>4913438.4000000004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C3-4C11-8D25-A58F9C5B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50x50</a:t>
            </a:r>
          </a:p>
        </c:rich>
      </c:tx>
      <c:layout>
        <c:manualLayout>
          <c:xMode val="edge"/>
          <c:yMode val="edge"/>
          <c:x val="0.16740266123720915"/>
          <c:y val="2.3811304090368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Posix'!$C$5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Posix'!$B$6:$B$10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Posix'!$C$6:$C$10</c:f>
              <c:numCache>
                <c:formatCode>#,##0\ "ms"</c:formatCode>
                <c:ptCount val="5"/>
                <c:pt idx="0">
                  <c:v>1137.0333333333333</c:v>
                </c:pt>
                <c:pt idx="1">
                  <c:v>607.20000000000005</c:v>
                </c:pt>
                <c:pt idx="2">
                  <c:v>588.63333333333333</c:v>
                </c:pt>
                <c:pt idx="3">
                  <c:v>644.79999999999995</c:v>
                </c:pt>
                <c:pt idx="4">
                  <c:v>671.4666666666667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8-45C3-B705-7B19BCE1CA1D}"/>
            </c:ext>
          </c:extLst>
        </c:ser>
        <c:ser>
          <c:idx val="1"/>
          <c:order val="1"/>
          <c:tx>
            <c:strRef>
              <c:f>'Promedios Posix'!$D$5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Posix'!$B$6:$B$10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Posix'!$D$6:$D$10</c:f>
              <c:numCache>
                <c:formatCode>#,##0\ "ms"</c:formatCode>
                <c:ptCount val="5"/>
                <c:pt idx="0">
                  <c:v>1811.3333333333333</c:v>
                </c:pt>
                <c:pt idx="1">
                  <c:v>1046.7</c:v>
                </c:pt>
                <c:pt idx="2">
                  <c:v>1447.4</c:v>
                </c:pt>
                <c:pt idx="3">
                  <c:v>1261.6333333333334</c:v>
                </c:pt>
                <c:pt idx="4">
                  <c:v>1182.2666666666667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8-45C3-B705-7B19BCE1CA1D}"/>
            </c:ext>
          </c:extLst>
        </c:ser>
        <c:ser>
          <c:idx val="2"/>
          <c:order val="2"/>
          <c:tx>
            <c:strRef>
              <c:f>'Promedios Posix'!$E$5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Posix'!$B$6:$B$10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Posix'!$E$6:$E$10</c:f>
              <c:numCache>
                <c:formatCode>#,##0\ "ms"</c:formatCode>
                <c:ptCount val="5"/>
                <c:pt idx="0">
                  <c:v>437.8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58-45C3-B705-7B19BCE1CA1D}"/>
            </c:ext>
          </c:extLst>
        </c:ser>
        <c:ser>
          <c:idx val="3"/>
          <c:order val="3"/>
          <c:tx>
            <c:strRef>
              <c:f>'Promedios Posix'!$F$5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Posix'!$B$6:$B$10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Posix'!$F$6:$F$10</c:f>
              <c:numCache>
                <c:formatCode>#,##0\ "ms"</c:formatCode>
                <c:ptCount val="5"/>
                <c:pt idx="0">
                  <c:v>1941.6</c:v>
                </c:pt>
                <c:pt idx="1">
                  <c:v>1133.0999999999999</c:v>
                </c:pt>
                <c:pt idx="2">
                  <c:v>1217.6666666666667</c:v>
                </c:pt>
                <c:pt idx="3">
                  <c:v>1862.3</c:v>
                </c:pt>
                <c:pt idx="4">
                  <c:v>1986.6666666666667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58-45C3-B705-7B19BCE1C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Posix'!$J$5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Posix'!$I$6:$I$10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Posix'!$J$6:$J$10</c:f>
              <c:numCache>
                <c:formatCode>#,##0\ "ms"</c:formatCode>
                <c:ptCount val="5"/>
                <c:pt idx="0">
                  <c:v>7029.1333333333332</c:v>
                </c:pt>
                <c:pt idx="1">
                  <c:v>4027.3</c:v>
                </c:pt>
                <c:pt idx="2">
                  <c:v>1761.3</c:v>
                </c:pt>
                <c:pt idx="3">
                  <c:v>1444.2666666666667</c:v>
                </c:pt>
                <c:pt idx="4">
                  <c:v>1690.7333333333333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4-48E4-822E-05CA06253EAC}"/>
            </c:ext>
          </c:extLst>
        </c:ser>
        <c:ser>
          <c:idx val="1"/>
          <c:order val="1"/>
          <c:tx>
            <c:strRef>
              <c:f>'Promedios Posix'!$K$5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Posix'!$I$6:$I$10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Posix'!$K$6:$K$10</c:f>
              <c:numCache>
                <c:formatCode>#,##0\ "ms"</c:formatCode>
                <c:ptCount val="5"/>
                <c:pt idx="0">
                  <c:v>1709.8333333333333</c:v>
                </c:pt>
                <c:pt idx="1">
                  <c:v>1229.3666666666666</c:v>
                </c:pt>
                <c:pt idx="2">
                  <c:v>1223.2666666666667</c:v>
                </c:pt>
                <c:pt idx="3">
                  <c:v>1577.0666666666666</c:v>
                </c:pt>
                <c:pt idx="4">
                  <c:v>1974.8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C4-48E4-822E-05CA06253EAC}"/>
            </c:ext>
          </c:extLst>
        </c:ser>
        <c:ser>
          <c:idx val="2"/>
          <c:order val="2"/>
          <c:tx>
            <c:strRef>
              <c:f>'Promedios Posix'!$L$5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Posix'!$I$6:$I$10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Posix'!$L$6:$L$10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813.66666666666663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C4-48E4-822E-05CA06253EAC}"/>
            </c:ext>
          </c:extLst>
        </c:ser>
        <c:ser>
          <c:idx val="3"/>
          <c:order val="3"/>
          <c:tx>
            <c:strRef>
              <c:f>'Promedios Posix'!$M$5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Posix'!$I$6:$I$10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Posix'!$M$6:$M$10</c:f>
              <c:numCache>
                <c:formatCode>#,##0\ "ms"</c:formatCode>
                <c:ptCount val="5"/>
                <c:pt idx="0">
                  <c:v>4089.3</c:v>
                </c:pt>
                <c:pt idx="1">
                  <c:v>2588.7666666666669</c:v>
                </c:pt>
                <c:pt idx="2">
                  <c:v>2207.2333333333331</c:v>
                </c:pt>
                <c:pt idx="3">
                  <c:v>1884.4666666666667</c:v>
                </c:pt>
                <c:pt idx="4">
                  <c:v>2203.3000000000002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C4-48E4-822E-05CA06253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500x500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Posix'!$Q$5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Posix'!$P$6:$P$10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Posix'!$Q$6:$Q$10</c:f>
              <c:numCache>
                <c:formatCode>#,##0\ "ms"</c:formatCode>
                <c:ptCount val="5"/>
                <c:pt idx="0">
                  <c:v>492496.13333333336</c:v>
                </c:pt>
                <c:pt idx="1">
                  <c:v>253957.7</c:v>
                </c:pt>
                <c:pt idx="2">
                  <c:v>129507.53333333334</c:v>
                </c:pt>
                <c:pt idx="3">
                  <c:v>125072.56666666667</c:v>
                </c:pt>
                <c:pt idx="4">
                  <c:v>127562.76666666666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2F-4861-9D60-86854EA859C0}"/>
            </c:ext>
          </c:extLst>
        </c:ser>
        <c:ser>
          <c:idx val="1"/>
          <c:order val="1"/>
          <c:tx>
            <c:strRef>
              <c:f>'Promedios Posix'!$R$5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Posix'!$P$6:$P$10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Posix'!$R$6:$R$10</c:f>
              <c:numCache>
                <c:formatCode>#,##0\ "ms"</c:formatCode>
                <c:ptCount val="5"/>
                <c:pt idx="0">
                  <c:v>114393.7</c:v>
                </c:pt>
                <c:pt idx="1">
                  <c:v>109309</c:v>
                </c:pt>
                <c:pt idx="2">
                  <c:v>114348.33333333333</c:v>
                </c:pt>
                <c:pt idx="3">
                  <c:v>120554.93333333333</c:v>
                </c:pt>
                <c:pt idx="4">
                  <c:v>131966.13333333333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2F-4861-9D60-86854EA859C0}"/>
            </c:ext>
          </c:extLst>
        </c:ser>
        <c:ser>
          <c:idx val="2"/>
          <c:order val="2"/>
          <c:tx>
            <c:strRef>
              <c:f>'Promedios Posix'!$S$5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Posix'!$P$6:$P$10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Posix'!$S$6:$S$10</c:f>
              <c:numCache>
                <c:formatCode>#,##0\ "ms"</c:formatCode>
                <c:ptCount val="5"/>
                <c:pt idx="0">
                  <c:v>231003</c:v>
                </c:pt>
                <c:pt idx="1">
                  <c:v>122967.5</c:v>
                </c:pt>
                <c:pt idx="2">
                  <c:v>77034.100000000006</c:v>
                </c:pt>
                <c:pt idx="3">
                  <c:v>47523.23333333333</c:v>
                </c:pt>
                <c:pt idx="4">
                  <c:v>39510.6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2F-4861-9D60-86854EA859C0}"/>
            </c:ext>
          </c:extLst>
        </c:ser>
        <c:ser>
          <c:idx val="3"/>
          <c:order val="3"/>
          <c:tx>
            <c:strRef>
              <c:f>'Promedios Posix'!$T$5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Posix'!$P$6:$P$10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Posix'!$T$6:$T$10</c:f>
              <c:numCache>
                <c:formatCode>#,##0\ "ms"</c:formatCode>
                <c:ptCount val="5"/>
                <c:pt idx="0">
                  <c:v>395578.33333333331</c:v>
                </c:pt>
                <c:pt idx="1">
                  <c:v>161960.46666666667</c:v>
                </c:pt>
                <c:pt idx="2">
                  <c:v>139152.86666666667</c:v>
                </c:pt>
                <c:pt idx="3">
                  <c:v>91218.1</c:v>
                </c:pt>
                <c:pt idx="4">
                  <c:v>78180.566666666666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2F-4861-9D60-86854EA85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1000x1000</a:t>
            </a:r>
          </a:p>
        </c:rich>
      </c:tx>
      <c:layout>
        <c:manualLayout>
          <c:xMode val="edge"/>
          <c:yMode val="edge"/>
          <c:x val="0.16216422533329181"/>
          <c:y val="2.396990210915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Posix'!$C$15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Posix'!$B$16:$B$20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Posix'!$C$16:$C$20</c:f>
              <c:numCache>
                <c:formatCode>#,##0\ "ms"</c:formatCode>
                <c:ptCount val="5"/>
                <c:pt idx="0">
                  <c:v>4966478.5999999996</c:v>
                </c:pt>
                <c:pt idx="1">
                  <c:v>2422897.3333333335</c:v>
                </c:pt>
                <c:pt idx="2">
                  <c:v>1100681.2333333334</c:v>
                </c:pt>
                <c:pt idx="3">
                  <c:v>1066073.6000000001</c:v>
                </c:pt>
                <c:pt idx="4">
                  <c:v>1067517.3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7-456C-AB58-72CED7733BF9}"/>
            </c:ext>
          </c:extLst>
        </c:ser>
        <c:ser>
          <c:idx val="1"/>
          <c:order val="1"/>
          <c:tx>
            <c:strRef>
              <c:f>'Promedios Posix'!$D$15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Posix'!$B$16:$B$20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Posix'!$D$16:$D$20</c:f>
              <c:numCache>
                <c:formatCode>#,##0\ "ms"</c:formatCode>
                <c:ptCount val="5"/>
                <c:pt idx="0">
                  <c:v>933697.56666666665</c:v>
                </c:pt>
                <c:pt idx="1">
                  <c:v>920751.43333333335</c:v>
                </c:pt>
                <c:pt idx="2">
                  <c:v>995521.73333333328</c:v>
                </c:pt>
                <c:pt idx="3">
                  <c:v>1067881.5666666667</c:v>
                </c:pt>
                <c:pt idx="4">
                  <c:v>1067881.5666666667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C7-456C-AB58-72CED7733BF9}"/>
            </c:ext>
          </c:extLst>
        </c:ser>
        <c:ser>
          <c:idx val="2"/>
          <c:order val="2"/>
          <c:tx>
            <c:strRef>
              <c:f>'Promedios Posix'!$E$15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Posix'!$B$16:$B$20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Posix'!$E$16:$E$20</c:f>
              <c:numCache>
                <c:formatCode>#,##0\ "ms"</c:formatCode>
                <c:ptCount val="5"/>
                <c:pt idx="0">
                  <c:v>1991854.4666666666</c:v>
                </c:pt>
                <c:pt idx="1">
                  <c:v>1084408.6000000001</c:v>
                </c:pt>
                <c:pt idx="2">
                  <c:v>679094.43333333335</c:v>
                </c:pt>
                <c:pt idx="3">
                  <c:v>446858.96666666667</c:v>
                </c:pt>
                <c:pt idx="4">
                  <c:v>401744.86666666664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C7-456C-AB58-72CED7733BF9}"/>
            </c:ext>
          </c:extLst>
        </c:ser>
        <c:ser>
          <c:idx val="3"/>
          <c:order val="3"/>
          <c:tx>
            <c:strRef>
              <c:f>'Promedios Posix'!$F$15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Posix'!$B$16:$B$20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Posix'!$F$16:$F$20</c:f>
              <c:numCache>
                <c:formatCode>#,##0\ "ms"</c:formatCode>
                <c:ptCount val="5"/>
                <c:pt idx="0">
                  <c:v>3856719.0333333332</c:v>
                </c:pt>
                <c:pt idx="1">
                  <c:v>2147555.2333333334</c:v>
                </c:pt>
                <c:pt idx="2">
                  <c:v>1378772.2333333334</c:v>
                </c:pt>
                <c:pt idx="3">
                  <c:v>934070.4</c:v>
                </c:pt>
                <c:pt idx="4">
                  <c:v>843160.3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C7-456C-AB58-72CED7733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1500x1500</a:t>
            </a:r>
          </a:p>
        </c:rich>
      </c:tx>
      <c:layout>
        <c:manualLayout>
          <c:xMode val="edge"/>
          <c:yMode val="edge"/>
          <c:x val="0.12315095989677276"/>
          <c:y val="2.062482053697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Posix'!$J$15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Posix'!$I$16:$I$20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Posix'!$J$16:$J$20</c:f>
              <c:numCache>
                <c:formatCode>#,##0\ "ms"</c:formatCode>
                <c:ptCount val="5"/>
                <c:pt idx="0">
                  <c:v>21374004.666666668</c:v>
                </c:pt>
                <c:pt idx="1">
                  <c:v>10246799</c:v>
                </c:pt>
                <c:pt idx="2">
                  <c:v>5265513.9000000004</c:v>
                </c:pt>
                <c:pt idx="3">
                  <c:v>4128583.6333333333</c:v>
                </c:pt>
                <c:pt idx="4">
                  <c:v>4422448.0666666664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4-4B1C-926B-7124EDBB89F6}"/>
            </c:ext>
          </c:extLst>
        </c:ser>
        <c:ser>
          <c:idx val="1"/>
          <c:order val="1"/>
          <c:tx>
            <c:strRef>
              <c:f>'Promedios Posix'!$K$15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Posix'!$I$16:$I$20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Posix'!$K$16:$K$20</c:f>
              <c:numCache>
                <c:formatCode>#,##0\ "ms"</c:formatCode>
                <c:ptCount val="5"/>
                <c:pt idx="0">
                  <c:v>5042656.2666666666</c:v>
                </c:pt>
                <c:pt idx="1">
                  <c:v>4607654.7</c:v>
                </c:pt>
                <c:pt idx="2">
                  <c:v>4610709.5333333332</c:v>
                </c:pt>
                <c:pt idx="3">
                  <c:v>4762460.5999999996</c:v>
                </c:pt>
                <c:pt idx="4">
                  <c:v>4807465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74-4B1C-926B-7124EDBB89F6}"/>
            </c:ext>
          </c:extLst>
        </c:ser>
        <c:ser>
          <c:idx val="2"/>
          <c:order val="2"/>
          <c:tx>
            <c:strRef>
              <c:f>'Promedios Posix'!$L$15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Posix'!$I$16:$I$20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Posix'!$L$16:$L$20</c:f>
              <c:numCache>
                <c:formatCode>#,##0\ "ms"</c:formatCode>
                <c:ptCount val="5"/>
                <c:pt idx="0">
                  <c:v>8612529.666666666</c:v>
                </c:pt>
                <c:pt idx="1">
                  <c:v>4943792.333333333</c:v>
                </c:pt>
                <c:pt idx="2">
                  <c:v>2903714.2</c:v>
                </c:pt>
                <c:pt idx="3">
                  <c:v>2026874.8</c:v>
                </c:pt>
                <c:pt idx="4">
                  <c:v>1941274.8333333333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74-4B1C-926B-7124EDBB89F6}"/>
            </c:ext>
          </c:extLst>
        </c:ser>
        <c:ser>
          <c:idx val="3"/>
          <c:order val="3"/>
          <c:tx>
            <c:strRef>
              <c:f>'Promedios Posix'!$M$15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Posix'!$I$16:$I$20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Posix'!$M$16:$M$20</c:f>
              <c:numCache>
                <c:formatCode>#,##0\ "ms"</c:formatCode>
                <c:ptCount val="5"/>
                <c:pt idx="0">
                  <c:v>18041016.433333334</c:v>
                </c:pt>
                <c:pt idx="1">
                  <c:v>9663883.4333333336</c:v>
                </c:pt>
                <c:pt idx="2">
                  <c:v>6308605.166666667</c:v>
                </c:pt>
                <c:pt idx="3">
                  <c:v>4580479.166666667</c:v>
                </c:pt>
                <c:pt idx="4">
                  <c:v>4524992.333333333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74-4B1C-926B-7124EDBB8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50x50</a:t>
            </a:r>
          </a:p>
        </c:rich>
      </c:tx>
      <c:layout>
        <c:manualLayout>
          <c:xMode val="edge"/>
          <c:yMode val="edge"/>
          <c:x val="0.16740266123720915"/>
          <c:y val="2.3811304090368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FilasOpenMP'!$C$5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FilasOpenMP'!$B$6:$B$10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FilasOpenMP'!$C$6:$C$10</c:f>
              <c:numCache>
                <c:formatCode>#,##0\ "ms"</c:formatCode>
                <c:ptCount val="5"/>
                <c:pt idx="0">
                  <c:v>663.9666666666667</c:v>
                </c:pt>
                <c:pt idx="1">
                  <c:v>1792.3333333333333</c:v>
                </c:pt>
                <c:pt idx="2">
                  <c:v>2572.4666666666667</c:v>
                </c:pt>
                <c:pt idx="3">
                  <c:v>2306.6333333333332</c:v>
                </c:pt>
                <c:pt idx="4">
                  <c:v>2194.8666666666668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1-43FB-96A9-511EF5E99F1C}"/>
            </c:ext>
          </c:extLst>
        </c:ser>
        <c:ser>
          <c:idx val="1"/>
          <c:order val="1"/>
          <c:tx>
            <c:strRef>
              <c:f>'Promedios FilasOpenMP'!$D$5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FilasOpenMP'!$B$6:$B$10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FilasOpenMP'!$D$6:$D$10</c:f>
              <c:numCache>
                <c:formatCode>#,##0\ "ms"</c:formatCode>
                <c:ptCount val="5"/>
                <c:pt idx="0">
                  <c:v>141.06666666666666</c:v>
                </c:pt>
                <c:pt idx="1">
                  <c:v>1776.8</c:v>
                </c:pt>
                <c:pt idx="2">
                  <c:v>7505.6333333333332</c:v>
                </c:pt>
                <c:pt idx="3">
                  <c:v>3525.7</c:v>
                </c:pt>
                <c:pt idx="4">
                  <c:v>1583.5333333333333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A1-43FB-96A9-511EF5E99F1C}"/>
            </c:ext>
          </c:extLst>
        </c:ser>
        <c:ser>
          <c:idx val="2"/>
          <c:order val="2"/>
          <c:tx>
            <c:strRef>
              <c:f>'Promedios FilasOpenMP'!$E$5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FilasOpenMP'!$B$6:$B$10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FilasOpenMP'!$E$6:$E$10</c:f>
              <c:numCache>
                <c:formatCode>#,##0\ "ms"</c:formatCode>
                <c:ptCount val="5"/>
                <c:pt idx="0">
                  <c:v>256.33333333333331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A1-43FB-96A9-511EF5E99F1C}"/>
            </c:ext>
          </c:extLst>
        </c:ser>
        <c:ser>
          <c:idx val="3"/>
          <c:order val="3"/>
          <c:tx>
            <c:strRef>
              <c:f>'Promedios FilasOpenMP'!$F$5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FilasOpenMP'!$B$6:$B$10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FilasOpenMP'!$F$6:$F$10</c:f>
              <c:numCache>
                <c:formatCode>#,##0\ "ms"</c:formatCode>
                <c:ptCount val="5"/>
                <c:pt idx="0">
                  <c:v>457.06666666666666</c:v>
                </c:pt>
                <c:pt idx="1">
                  <c:v>1481.8</c:v>
                </c:pt>
                <c:pt idx="2">
                  <c:v>2822.5333333333333</c:v>
                </c:pt>
                <c:pt idx="3">
                  <c:v>3330.4666666666667</c:v>
                </c:pt>
                <c:pt idx="4">
                  <c:v>4624.5333333333338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1-43FB-96A9-511EF5E99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FilasOpenMP'!$J$5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FilasOpenMP'!$I$6:$I$10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FilasOpenMP'!$J$6:$J$10</c:f>
              <c:numCache>
                <c:formatCode>#,##0\ "ms"</c:formatCode>
                <c:ptCount val="5"/>
                <c:pt idx="0">
                  <c:v>6334.4333333333334</c:v>
                </c:pt>
                <c:pt idx="1">
                  <c:v>27133.733333333334</c:v>
                </c:pt>
                <c:pt idx="2">
                  <c:v>15153.7</c:v>
                </c:pt>
                <c:pt idx="3">
                  <c:v>19429.466666666667</c:v>
                </c:pt>
                <c:pt idx="4">
                  <c:v>24563.7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4-48E4-822E-05CA06253EAC}"/>
            </c:ext>
          </c:extLst>
        </c:ser>
        <c:ser>
          <c:idx val="1"/>
          <c:order val="1"/>
          <c:tx>
            <c:strRef>
              <c:f>'Promedios FilasOpenMP'!$K$5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FilasOpenMP'!$I$6:$I$10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FilasOpenMP'!$K$6:$K$10</c:f>
              <c:numCache>
                <c:formatCode>#,##0\ "ms"</c:formatCode>
                <c:ptCount val="5"/>
                <c:pt idx="0">
                  <c:v>1506.4666666666667</c:v>
                </c:pt>
                <c:pt idx="1">
                  <c:v>4336</c:v>
                </c:pt>
                <c:pt idx="2">
                  <c:v>8065</c:v>
                </c:pt>
                <c:pt idx="3">
                  <c:v>5557.4666666666662</c:v>
                </c:pt>
                <c:pt idx="4">
                  <c:v>1994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C4-48E4-822E-05CA06253EAC}"/>
            </c:ext>
          </c:extLst>
        </c:ser>
        <c:ser>
          <c:idx val="2"/>
          <c:order val="2"/>
          <c:tx>
            <c:strRef>
              <c:f>'Promedios FilasOpenMP'!$L$5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FilasOpenMP'!$I$6:$I$10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FilasOpenMP'!$L$6:$L$10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8728.7000000000007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C4-48E4-822E-05CA06253EAC}"/>
            </c:ext>
          </c:extLst>
        </c:ser>
        <c:ser>
          <c:idx val="3"/>
          <c:order val="3"/>
          <c:tx>
            <c:strRef>
              <c:f>'Promedios FilasOpenMP'!$M$5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FilasOpenMP'!$I$6:$I$10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FilasOpenMP'!$M$6:$M$10</c:f>
              <c:numCache>
                <c:formatCode>#,##0\ "ms"</c:formatCode>
                <c:ptCount val="5"/>
                <c:pt idx="0">
                  <c:v>3184.3333333333335</c:v>
                </c:pt>
                <c:pt idx="1">
                  <c:v>8739.2666666666664</c:v>
                </c:pt>
                <c:pt idx="2">
                  <c:v>19000.233333333334</c:v>
                </c:pt>
                <c:pt idx="3">
                  <c:v>23081.433333333334</c:v>
                </c:pt>
                <c:pt idx="4">
                  <c:v>25875.9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C4-48E4-822E-05CA06253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500x500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FilasOpenMP'!$Q$5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FilasOpenMP'!$P$6:$P$10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FilasOpenMP'!$Q$6:$Q$10</c:f>
              <c:numCache>
                <c:formatCode>#,##0\ "ms"</c:formatCode>
                <c:ptCount val="5"/>
                <c:pt idx="0">
                  <c:v>535523.80000000005</c:v>
                </c:pt>
                <c:pt idx="1">
                  <c:v>1641799.3</c:v>
                </c:pt>
                <c:pt idx="2">
                  <c:v>2381290.7999999998</c:v>
                </c:pt>
                <c:pt idx="3">
                  <c:v>1512878.2333333334</c:v>
                </c:pt>
                <c:pt idx="4">
                  <c:v>1336721.1333333333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9B-4737-9B0B-4D351A33A6B4}"/>
            </c:ext>
          </c:extLst>
        </c:ser>
        <c:ser>
          <c:idx val="1"/>
          <c:order val="1"/>
          <c:tx>
            <c:strRef>
              <c:f>'Promedios FilasOpenMP'!$R$5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FilasOpenMP'!$P$6:$P$10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FilasOpenMP'!$R$6:$R$10</c:f>
              <c:numCache>
                <c:formatCode>#,##0\ "ms"</c:formatCode>
                <c:ptCount val="5"/>
                <c:pt idx="0">
                  <c:v>160720.4</c:v>
                </c:pt>
                <c:pt idx="1">
                  <c:v>146649.63333333333</c:v>
                </c:pt>
                <c:pt idx="2">
                  <c:v>146732.53333333333</c:v>
                </c:pt>
                <c:pt idx="3">
                  <c:v>135386.9</c:v>
                </c:pt>
                <c:pt idx="4">
                  <c:v>131370.33333333334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9B-4737-9B0B-4D351A33A6B4}"/>
            </c:ext>
          </c:extLst>
        </c:ser>
        <c:ser>
          <c:idx val="2"/>
          <c:order val="2"/>
          <c:tx>
            <c:strRef>
              <c:f>'Promedios FilasOpenMP'!$S$5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FilasOpenMP'!$P$6:$P$10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FilasOpenMP'!$S$6:$S$10</c:f>
              <c:numCache>
                <c:formatCode>#,##0\ "ms"</c:formatCode>
                <c:ptCount val="5"/>
                <c:pt idx="0">
                  <c:v>246135.73333333334</c:v>
                </c:pt>
                <c:pt idx="1">
                  <c:v>706038.93333333335</c:v>
                </c:pt>
                <c:pt idx="2">
                  <c:v>890051.33333333337</c:v>
                </c:pt>
                <c:pt idx="3">
                  <c:v>763243.6</c:v>
                </c:pt>
                <c:pt idx="4">
                  <c:v>1014267.5333333333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9B-4737-9B0B-4D351A33A6B4}"/>
            </c:ext>
          </c:extLst>
        </c:ser>
        <c:ser>
          <c:idx val="3"/>
          <c:order val="3"/>
          <c:tx>
            <c:strRef>
              <c:f>'Promedios FilasOpenMP'!$T$5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FilasOpenMP'!$P$6:$P$10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FilasOpenMP'!$T$6:$T$10</c:f>
              <c:numCache>
                <c:formatCode>#,##0\ "ms"</c:formatCode>
                <c:ptCount val="5"/>
                <c:pt idx="0">
                  <c:v>331521.13333333336</c:v>
                </c:pt>
                <c:pt idx="1">
                  <c:v>1082274.1666666667</c:v>
                </c:pt>
                <c:pt idx="2">
                  <c:v>1842179.4333333333</c:v>
                </c:pt>
                <c:pt idx="3">
                  <c:v>2468527</c:v>
                </c:pt>
                <c:pt idx="4">
                  <c:v>2509010.2666666666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9B-4737-9B0B-4D351A33A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1000x1000</a:t>
            </a:r>
          </a:p>
        </c:rich>
      </c:tx>
      <c:layout>
        <c:manualLayout>
          <c:xMode val="edge"/>
          <c:yMode val="edge"/>
          <c:x val="0.16216422533329181"/>
          <c:y val="2.396990210915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'Promedios FilasOpenMP'!$C$15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FilasOpenMP'!$B$16:$B$20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FilasOpenMP'!$C$16:$C$20</c:f>
              <c:numCache>
                <c:formatCode>#,##0\ "ms"</c:formatCode>
                <c:ptCount val="5"/>
                <c:pt idx="0">
                  <c:v>4150145.5333333332</c:v>
                </c:pt>
                <c:pt idx="1">
                  <c:v>18118152.433333334</c:v>
                </c:pt>
                <c:pt idx="2">
                  <c:v>26157941.266666666</c:v>
                </c:pt>
                <c:pt idx="3">
                  <c:v>11914620.066666666</c:v>
                </c:pt>
                <c:pt idx="4">
                  <c:v>19680356.366666667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5-4DFA-B1C3-6CA4C23AA52F}"/>
            </c:ext>
          </c:extLst>
        </c:ser>
        <c:ser>
          <c:idx val="1"/>
          <c:order val="1"/>
          <c:tx>
            <c:strRef>
              <c:f>'Promedios FilasOpenMP'!$D$15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FilasOpenMP'!$B$16:$B$20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FilasOpenMP'!$D$16:$D$20</c:f>
              <c:numCache>
                <c:formatCode>#,##0\ "ms"</c:formatCode>
                <c:ptCount val="5"/>
                <c:pt idx="0">
                  <c:v>1213799.5666666667</c:v>
                </c:pt>
                <c:pt idx="1">
                  <c:v>1099939.2666666666</c:v>
                </c:pt>
                <c:pt idx="2">
                  <c:v>1103606.8</c:v>
                </c:pt>
                <c:pt idx="3">
                  <c:v>1097460.4333333333</c:v>
                </c:pt>
                <c:pt idx="4">
                  <c:v>1097460.4333333333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35-4DFA-B1C3-6CA4C23AA52F}"/>
            </c:ext>
          </c:extLst>
        </c:ser>
        <c:ser>
          <c:idx val="2"/>
          <c:order val="2"/>
          <c:tx>
            <c:strRef>
              <c:f>'Promedios FilasOpenMP'!$E$15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FilasOpenMP'!$B$16:$B$20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FilasOpenMP'!$E$16:$E$20</c:f>
              <c:numCache>
                <c:formatCode>#,##0\ "ms"</c:formatCode>
                <c:ptCount val="5"/>
                <c:pt idx="0">
                  <c:v>2026459.8333333333</c:v>
                </c:pt>
                <c:pt idx="1">
                  <c:v>4612067.666666667</c:v>
                </c:pt>
                <c:pt idx="2">
                  <c:v>6340739.6333333338</c:v>
                </c:pt>
                <c:pt idx="3">
                  <c:v>9448166.7666666675</c:v>
                </c:pt>
                <c:pt idx="4">
                  <c:v>6796339.0333333332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35-4DFA-B1C3-6CA4C23AA52F}"/>
            </c:ext>
          </c:extLst>
        </c:ser>
        <c:ser>
          <c:idx val="3"/>
          <c:order val="3"/>
          <c:tx>
            <c:strRef>
              <c:f>'Promedios FilasOpenMP'!$F$15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FilasOpenMP'!$B$16:$B$20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FilasOpenMP'!$F$16:$F$20</c:f>
              <c:numCache>
                <c:formatCode>#,##0\ "ms"</c:formatCode>
                <c:ptCount val="5"/>
                <c:pt idx="0">
                  <c:v>3066932.6333333333</c:v>
                </c:pt>
                <c:pt idx="1">
                  <c:v>8776908.0999999996</c:v>
                </c:pt>
                <c:pt idx="2">
                  <c:v>15083005.766666668</c:v>
                </c:pt>
                <c:pt idx="3">
                  <c:v>20001529.733333334</c:v>
                </c:pt>
                <c:pt idx="4">
                  <c:v>20796824.966666665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35-4DFA-B1C3-6CA4C23AA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Máquinas - Multiplicación de Matrices 1500x1500</a:t>
            </a:r>
          </a:p>
        </c:rich>
      </c:tx>
      <c:layout>
        <c:manualLayout>
          <c:xMode val="edge"/>
          <c:yMode val="edge"/>
          <c:x val="0.12315095989677276"/>
          <c:y val="2.062482053697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074662100468308"/>
          <c:y val="0.11179461993087964"/>
          <c:w val="0.8390631866365833"/>
          <c:h val="0.676853194596794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'Promedios FilasOpenMP'!$J$15</c:f>
              <c:strCache>
                <c:ptCount val="1"/>
                <c:pt idx="0">
                  <c:v>VM Javeriana Ubuntu 4 hilos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'Promedios FilasOpenMP'!$I$16:$I$20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FilasOpenMP'!$J$16:$J$20</c:f>
              <c:numCache>
                <c:formatCode>#,##0\ "ms"</c:formatCode>
                <c:ptCount val="5"/>
                <c:pt idx="0">
                  <c:v>13084449.966666667</c:v>
                </c:pt>
                <c:pt idx="1">
                  <c:v>65377128.100000001</c:v>
                </c:pt>
                <c:pt idx="2">
                  <c:v>58872844.100000001</c:v>
                </c:pt>
                <c:pt idx="3">
                  <c:v>39674971.133333333</c:v>
                </c:pt>
                <c:pt idx="4">
                  <c:v>70249882.766666666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D-414B-B911-FC18426C52D9}"/>
            </c:ext>
          </c:extLst>
        </c:ser>
        <c:ser>
          <c:idx val="1"/>
          <c:order val="1"/>
          <c:tx>
            <c:strRef>
              <c:f>'Promedios FilasOpenMP'!$K$15</c:f>
              <c:strCache>
                <c:ptCount val="1"/>
                <c:pt idx="0">
                  <c:v>Replit 8 hilos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'Promedios FilasOpenMP'!$I$16:$I$20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FilasOpenMP'!$K$16:$K$20</c:f>
              <c:numCache>
                <c:formatCode>#,##0\ "ms"</c:formatCode>
                <c:ptCount val="5"/>
                <c:pt idx="0">
                  <c:v>4397756.2666666666</c:v>
                </c:pt>
                <c:pt idx="1">
                  <c:v>3787534.3666666667</c:v>
                </c:pt>
                <c:pt idx="2">
                  <c:v>3763904.2666666666</c:v>
                </c:pt>
                <c:pt idx="3">
                  <c:v>3714622.2666666666</c:v>
                </c:pt>
                <c:pt idx="4">
                  <c:v>3775640.0666666669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FD-414B-B911-FC18426C52D9}"/>
            </c:ext>
          </c:extLst>
        </c:ser>
        <c:ser>
          <c:idx val="2"/>
          <c:order val="2"/>
          <c:tx>
            <c:strRef>
              <c:f>'Promedios FilasOpenMP'!$L$15</c:f>
              <c:strCache>
                <c:ptCount val="1"/>
                <c:pt idx="0">
                  <c:v>Subsistema de Windows para Linux (Ubuntu) 12 hilos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'Promedios FilasOpenMP'!$I$16:$I$20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FilasOpenMP'!$L$16:$L$20</c:f>
              <c:numCache>
                <c:formatCode>#,##0\ "ms"</c:formatCode>
                <c:ptCount val="5"/>
                <c:pt idx="0">
                  <c:v>7011196.4333333336</c:v>
                </c:pt>
                <c:pt idx="1">
                  <c:v>22772497.133333333</c:v>
                </c:pt>
                <c:pt idx="2">
                  <c:v>28115669.366666667</c:v>
                </c:pt>
                <c:pt idx="3">
                  <c:v>25132179.633333333</c:v>
                </c:pt>
                <c:pt idx="4">
                  <c:v>21790721.199999999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FD-414B-B911-FC18426C52D9}"/>
            </c:ext>
          </c:extLst>
        </c:ser>
        <c:ser>
          <c:idx val="3"/>
          <c:order val="3"/>
          <c:tx>
            <c:strRef>
              <c:f>'Promedios FilasOpenMP'!$M$15</c:f>
              <c:strCache>
                <c:ptCount val="1"/>
                <c:pt idx="0">
                  <c:v>Subsistema de Windows para Linux (Ubuntu) 16 hilos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'Promedios FilasOpenMP'!$I$16:$I$20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'Promedios FilasOpenMP'!$M$16:$M$20</c:f>
              <c:numCache>
                <c:formatCode>#,##0\ "ms"</c:formatCode>
                <c:ptCount val="5"/>
                <c:pt idx="0">
                  <c:v>10112468.333333334</c:v>
                </c:pt>
                <c:pt idx="1">
                  <c:v>27653763.366666667</c:v>
                </c:pt>
                <c:pt idx="2">
                  <c:v>49592684.733333334</c:v>
                </c:pt>
                <c:pt idx="3">
                  <c:v>64263107.5</c:v>
                </c:pt>
                <c:pt idx="4">
                  <c:v>60207047.600000001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FD-414B-B911-FC18426C5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VM Javeriana Ubuntu 4 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50x50</a:t>
            </a:r>
          </a:p>
        </c:rich>
      </c:tx>
      <c:layout>
        <c:manualLayout>
          <c:xMode val="edge"/>
          <c:yMode val="edge"/>
          <c:x val="0.16740266123720915"/>
          <c:y val="2.3811304090368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'VM Javeriana Ubuntu 4 hilos'!$C$5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'VM Javeriana Ubuntu 4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hilos'!$C$6:$C$10</c:f>
              <c:numCache>
                <c:formatCode>#,##0\ "ms"</c:formatCode>
                <c:ptCount val="5"/>
                <c:pt idx="0">
                  <c:v>1244.4000000000001</c:v>
                </c:pt>
                <c:pt idx="1">
                  <c:v>868</c:v>
                </c:pt>
                <c:pt idx="2">
                  <c:v>966.9</c:v>
                </c:pt>
                <c:pt idx="3">
                  <c:v>1172.5999999999999</c:v>
                </c:pt>
                <c:pt idx="4">
                  <c:v>1305.2666666666667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F-4A08-ACB3-27C1721DF9E1}"/>
            </c:ext>
          </c:extLst>
        </c:ser>
        <c:ser>
          <c:idx val="1"/>
          <c:order val="1"/>
          <c:tx>
            <c:strRef>
              <c:f>'VM Javeriana Ubuntu 4 hilos'!$D$5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'VM Javeriana Ubuntu 4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hilos'!$D$6:$D$10</c:f>
              <c:numCache>
                <c:formatCode>#,##0\ "ms"</c:formatCode>
                <c:ptCount val="5"/>
                <c:pt idx="0">
                  <c:v>574.73333333333335</c:v>
                </c:pt>
                <c:pt idx="1">
                  <c:v>376.73333333333335</c:v>
                </c:pt>
                <c:pt idx="2">
                  <c:v>832.13333333333333</c:v>
                </c:pt>
                <c:pt idx="3">
                  <c:v>700.7</c:v>
                </c:pt>
                <c:pt idx="4">
                  <c:v>710.5333333333333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F-4A08-ACB3-27C1721DF9E1}"/>
            </c:ext>
          </c:extLst>
        </c:ser>
        <c:ser>
          <c:idx val="2"/>
          <c:order val="2"/>
          <c:tx>
            <c:strRef>
              <c:f>'VM Javeriana Ubuntu 4 hilos'!$E$5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'VM Javeriana Ubuntu 4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hilos'!$E$6:$E$10</c:f>
              <c:numCache>
                <c:formatCode>#,##0\ "ms"</c:formatCode>
                <c:ptCount val="5"/>
                <c:pt idx="0">
                  <c:v>1137.0333333333333</c:v>
                </c:pt>
                <c:pt idx="1">
                  <c:v>607.20000000000005</c:v>
                </c:pt>
                <c:pt idx="2">
                  <c:v>588.63333333333333</c:v>
                </c:pt>
                <c:pt idx="3">
                  <c:v>644.79999999999995</c:v>
                </c:pt>
                <c:pt idx="4">
                  <c:v>671.4666666666667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F-4A08-ACB3-27C1721DF9E1}"/>
            </c:ext>
          </c:extLst>
        </c:ser>
        <c:ser>
          <c:idx val="3"/>
          <c:order val="3"/>
          <c:tx>
            <c:strRef>
              <c:f>'VM Javeriana Ubuntu 4 hilos'!$F$5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'VM Javeriana Ubuntu 4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hilos'!$F$6:$F$10</c:f>
              <c:numCache>
                <c:formatCode>#,##0\ "ms"</c:formatCode>
                <c:ptCount val="5"/>
                <c:pt idx="0">
                  <c:v>663.9666666666667</c:v>
                </c:pt>
                <c:pt idx="1">
                  <c:v>1792.3333333333333</c:v>
                </c:pt>
                <c:pt idx="2">
                  <c:v>2572.4666666666667</c:v>
                </c:pt>
                <c:pt idx="3">
                  <c:v>2306.6333333333332</c:v>
                </c:pt>
                <c:pt idx="4">
                  <c:v>2194.8666666666668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FF-4A08-ACB3-27C1721DF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VM Javeriana Ubuntu 4 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'VM Javeriana Ubuntu 4 hilos'!$J$5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'VM Javeriana Ubuntu 4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hilos'!$J$6:$J$10</c:f>
              <c:numCache>
                <c:formatCode>#,##0\ "ms"</c:formatCode>
                <c:ptCount val="5"/>
                <c:pt idx="0">
                  <c:v>5867.9666666666662</c:v>
                </c:pt>
                <c:pt idx="1">
                  <c:v>3364.7666666666669</c:v>
                </c:pt>
                <c:pt idx="2">
                  <c:v>2350.8000000000002</c:v>
                </c:pt>
                <c:pt idx="3">
                  <c:v>2743.4666666666667</c:v>
                </c:pt>
                <c:pt idx="4">
                  <c:v>2458.3666666666668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3-4CC0-80BE-EAA387FA4B23}"/>
            </c:ext>
          </c:extLst>
        </c:ser>
        <c:ser>
          <c:idx val="1"/>
          <c:order val="1"/>
          <c:tx>
            <c:strRef>
              <c:f>'VM Javeriana Ubuntu 4 hilos'!$K$5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'VM Javeriana Ubuntu 4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hilos'!$K$6:$K$10</c:f>
              <c:numCache>
                <c:formatCode>#,##0\ "ms"</c:formatCode>
                <c:ptCount val="5"/>
                <c:pt idx="0">
                  <c:v>4236.0333333333338</c:v>
                </c:pt>
                <c:pt idx="1">
                  <c:v>2920.7666666666669</c:v>
                </c:pt>
                <c:pt idx="2">
                  <c:v>1913.5</c:v>
                </c:pt>
                <c:pt idx="3">
                  <c:v>1657.4666666666667</c:v>
                </c:pt>
                <c:pt idx="4">
                  <c:v>1717.2666666666667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83-4CC0-80BE-EAA387FA4B23}"/>
            </c:ext>
          </c:extLst>
        </c:ser>
        <c:ser>
          <c:idx val="2"/>
          <c:order val="2"/>
          <c:tx>
            <c:strRef>
              <c:f>'VM Javeriana Ubuntu 4 hilos'!$L$5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'VM Javeriana Ubuntu 4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hilos'!$L$6:$L$10</c:f>
              <c:numCache>
                <c:formatCode>#,##0\ "ms"</c:formatCode>
                <c:ptCount val="5"/>
                <c:pt idx="0">
                  <c:v>7029.1333333333332</c:v>
                </c:pt>
                <c:pt idx="1">
                  <c:v>4027.3</c:v>
                </c:pt>
                <c:pt idx="2">
                  <c:v>1761.3</c:v>
                </c:pt>
                <c:pt idx="3">
                  <c:v>1444.2666666666667</c:v>
                </c:pt>
                <c:pt idx="4">
                  <c:v>1690.7333333333333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83-4CC0-80BE-EAA387FA4B23}"/>
            </c:ext>
          </c:extLst>
        </c:ser>
        <c:ser>
          <c:idx val="3"/>
          <c:order val="3"/>
          <c:tx>
            <c:strRef>
              <c:f>'VM Javeriana Ubuntu 4 hilos'!$M$5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'VM Javeriana Ubuntu 4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hilos'!$M$6:$M$10</c:f>
              <c:numCache>
                <c:formatCode>#,##0\ "ms"</c:formatCode>
                <c:ptCount val="5"/>
                <c:pt idx="0">
                  <c:v>6334.4333333333334</c:v>
                </c:pt>
                <c:pt idx="1">
                  <c:v>27133.733333333334</c:v>
                </c:pt>
                <c:pt idx="2">
                  <c:v>15153.7</c:v>
                </c:pt>
                <c:pt idx="3">
                  <c:v>19429.466666666667</c:v>
                </c:pt>
                <c:pt idx="4">
                  <c:v>24563.7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83-4CC0-80BE-EAA387FA4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VM Javeriana Ubuntu 4 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500x500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'VM Javeriana Ubuntu 4 hilos'!$Q$5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'VM Javeriana Ubuntu 4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hilos'!$Q$6:$Q$10</c:f>
              <c:numCache>
                <c:formatCode>#,##0\ "ms"</c:formatCode>
                <c:ptCount val="5"/>
                <c:pt idx="0">
                  <c:v>501042.96666666667</c:v>
                </c:pt>
                <c:pt idx="1">
                  <c:v>250653.76666666666</c:v>
                </c:pt>
                <c:pt idx="2">
                  <c:v>130419.63333333333</c:v>
                </c:pt>
                <c:pt idx="3">
                  <c:v>132673.13333333333</c:v>
                </c:pt>
                <c:pt idx="4">
                  <c:v>130487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A5-4D7A-8773-BB22DAB8A879}"/>
            </c:ext>
          </c:extLst>
        </c:ser>
        <c:ser>
          <c:idx val="1"/>
          <c:order val="1"/>
          <c:tx>
            <c:strRef>
              <c:f>'VM Javeriana Ubuntu 4 hilos'!$R$5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'VM Javeriana Ubuntu 4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hilos'!$R$6:$R$10</c:f>
              <c:numCache>
                <c:formatCode>#,##0\ "ms"</c:formatCode>
                <c:ptCount val="5"/>
                <c:pt idx="0">
                  <c:v>484101</c:v>
                </c:pt>
                <c:pt idx="1">
                  <c:v>254878.1</c:v>
                </c:pt>
                <c:pt idx="2">
                  <c:v>357137.06666666665</c:v>
                </c:pt>
                <c:pt idx="3">
                  <c:v>362235.6</c:v>
                </c:pt>
                <c:pt idx="4">
                  <c:v>341844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A5-4D7A-8773-BB22DAB8A879}"/>
            </c:ext>
          </c:extLst>
        </c:ser>
        <c:ser>
          <c:idx val="2"/>
          <c:order val="2"/>
          <c:tx>
            <c:strRef>
              <c:f>'VM Javeriana Ubuntu 4 hilos'!$S$5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'VM Javeriana Ubuntu 4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hilos'!$S$6:$S$10</c:f>
              <c:numCache>
                <c:formatCode>#,##0\ "ms"</c:formatCode>
                <c:ptCount val="5"/>
                <c:pt idx="0">
                  <c:v>492496.13333333336</c:v>
                </c:pt>
                <c:pt idx="1">
                  <c:v>253957.7</c:v>
                </c:pt>
                <c:pt idx="2">
                  <c:v>129507.53333333334</c:v>
                </c:pt>
                <c:pt idx="3">
                  <c:v>125072.56666666667</c:v>
                </c:pt>
                <c:pt idx="4">
                  <c:v>127562.76666666666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A5-4D7A-8773-BB22DAB8A879}"/>
            </c:ext>
          </c:extLst>
        </c:ser>
        <c:ser>
          <c:idx val="3"/>
          <c:order val="3"/>
          <c:tx>
            <c:strRef>
              <c:f>'VM Javeriana Ubuntu 4 hilos'!$T$5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'VM Javeriana Ubuntu 4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hilos'!$T$6:$T$10</c:f>
              <c:numCache>
                <c:formatCode>#,##0\ "ms"</c:formatCode>
                <c:ptCount val="5"/>
                <c:pt idx="0">
                  <c:v>535523.80000000005</c:v>
                </c:pt>
                <c:pt idx="1">
                  <c:v>1641799.3</c:v>
                </c:pt>
                <c:pt idx="2">
                  <c:v>2381290.7999999998</c:v>
                </c:pt>
                <c:pt idx="3">
                  <c:v>1512878.2333333334</c:v>
                </c:pt>
                <c:pt idx="4">
                  <c:v>1336721.1333333333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A5-4D7A-8773-BB22DAB8A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VM Javeriana Ubuntu 4 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1000x1000</a:t>
            </a:r>
          </a:p>
        </c:rich>
      </c:tx>
      <c:layout>
        <c:manualLayout>
          <c:xMode val="edge"/>
          <c:yMode val="edge"/>
          <c:x val="0.16216422533329181"/>
          <c:y val="2.396990210915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'VM Javeriana Ubuntu 4 hilos'!$C$15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'VM Javeriana Ubuntu 4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hilos'!$C$16:$C$20</c:f>
              <c:numCache>
                <c:formatCode>#,##0\ "ms"</c:formatCode>
                <c:ptCount val="5"/>
                <c:pt idx="0">
                  <c:v>4976830.4333333336</c:v>
                </c:pt>
                <c:pt idx="1">
                  <c:v>2384519.5333333332</c:v>
                </c:pt>
                <c:pt idx="2">
                  <c:v>1083383.5666666667</c:v>
                </c:pt>
                <c:pt idx="3">
                  <c:v>1127360.3999999999</c:v>
                </c:pt>
                <c:pt idx="4">
                  <c:v>1083518.1000000001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B-4346-8346-BED150EEA30F}"/>
            </c:ext>
          </c:extLst>
        </c:ser>
        <c:ser>
          <c:idx val="1"/>
          <c:order val="1"/>
          <c:tx>
            <c:strRef>
              <c:f>'VM Javeriana Ubuntu 4 hilos'!$D$15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'VM Javeriana Ubuntu 4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hilos'!$D$16:$D$20</c:f>
              <c:numCache>
                <c:formatCode>#,##0\ "ms"</c:formatCode>
                <c:ptCount val="5"/>
                <c:pt idx="0">
                  <c:v>4916429.8666666662</c:v>
                </c:pt>
                <c:pt idx="1">
                  <c:v>2440560.1</c:v>
                </c:pt>
                <c:pt idx="2">
                  <c:v>1073268.5666666667</c:v>
                </c:pt>
                <c:pt idx="3">
                  <c:v>1067125.9666666666</c:v>
                </c:pt>
                <c:pt idx="4">
                  <c:v>1053042.9333333333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0B-4346-8346-BED150EEA30F}"/>
            </c:ext>
          </c:extLst>
        </c:ser>
        <c:ser>
          <c:idx val="2"/>
          <c:order val="2"/>
          <c:tx>
            <c:strRef>
              <c:f>'VM Javeriana Ubuntu 4 hilos'!$E$15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'VM Javeriana Ubuntu 4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hilos'!$E$16:$E$20</c:f>
              <c:numCache>
                <c:formatCode>#,##0\ "ms"</c:formatCode>
                <c:ptCount val="5"/>
                <c:pt idx="0">
                  <c:v>4966478.5999999996</c:v>
                </c:pt>
                <c:pt idx="1">
                  <c:v>2422897.3333333335</c:v>
                </c:pt>
                <c:pt idx="2">
                  <c:v>1100681.2333333334</c:v>
                </c:pt>
                <c:pt idx="3">
                  <c:v>1066073.6000000001</c:v>
                </c:pt>
                <c:pt idx="4">
                  <c:v>1067517.3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0B-4346-8346-BED150EEA30F}"/>
            </c:ext>
          </c:extLst>
        </c:ser>
        <c:ser>
          <c:idx val="3"/>
          <c:order val="3"/>
          <c:tx>
            <c:strRef>
              <c:f>'VM Javeriana Ubuntu 4 hilos'!$F$15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'VM Javeriana Ubuntu 4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hilos'!$F$16:$F$20</c:f>
              <c:numCache>
                <c:formatCode>#,##0\ "ms"</c:formatCode>
                <c:ptCount val="5"/>
                <c:pt idx="0">
                  <c:v>4150145.5333333332</c:v>
                </c:pt>
                <c:pt idx="1">
                  <c:v>18118152.433333334</c:v>
                </c:pt>
                <c:pt idx="2">
                  <c:v>26157941.266666666</c:v>
                </c:pt>
                <c:pt idx="3">
                  <c:v>11914620.066666666</c:v>
                </c:pt>
                <c:pt idx="4">
                  <c:v>19680356.366666667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0B-4346-8346-BED150EEA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VM Javeriana Ubuntu 4 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1500x1500</a:t>
            </a:r>
          </a:p>
        </c:rich>
      </c:tx>
      <c:layout>
        <c:manualLayout>
          <c:xMode val="edge"/>
          <c:yMode val="edge"/>
          <c:x val="0.17845962728185547"/>
          <c:y val="3.179336123847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074662100468308"/>
          <c:y val="0.11179461993087964"/>
          <c:w val="0.8390631866365833"/>
          <c:h val="0.676853194596794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'VM Javeriana Ubuntu 4 hilos'!$J$15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'VM Javeriana Ubuntu 4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hilos'!$J$16:$J$20</c:f>
              <c:numCache>
                <c:formatCode>#,##0\ "ms"</c:formatCode>
                <c:ptCount val="5"/>
                <c:pt idx="0">
                  <c:v>21002910.166666668</c:v>
                </c:pt>
                <c:pt idx="1">
                  <c:v>10312810.033333333</c:v>
                </c:pt>
                <c:pt idx="2">
                  <c:v>5042021.166666667</c:v>
                </c:pt>
                <c:pt idx="3">
                  <c:v>4308623.7</c:v>
                </c:pt>
                <c:pt idx="4">
                  <c:v>4555716.2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98-4239-947F-B49B42227EC2}"/>
            </c:ext>
          </c:extLst>
        </c:ser>
        <c:ser>
          <c:idx val="1"/>
          <c:order val="1"/>
          <c:tx>
            <c:strRef>
              <c:f>'VM Javeriana Ubuntu 4 hilos'!$K$15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'VM Javeriana Ubuntu 4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hilos'!$K$16:$K$20</c:f>
              <c:numCache>
                <c:formatCode>#,##0\ "ms"</c:formatCode>
                <c:ptCount val="5"/>
                <c:pt idx="0">
                  <c:v>20248773.899999999</c:v>
                </c:pt>
                <c:pt idx="1">
                  <c:v>9968618.8666666672</c:v>
                </c:pt>
                <c:pt idx="2">
                  <c:v>5080173.5</c:v>
                </c:pt>
                <c:pt idx="3">
                  <c:v>4076102.2666666666</c:v>
                </c:pt>
                <c:pt idx="4">
                  <c:v>4365250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98-4239-947F-B49B42227EC2}"/>
            </c:ext>
          </c:extLst>
        </c:ser>
        <c:ser>
          <c:idx val="2"/>
          <c:order val="2"/>
          <c:tx>
            <c:strRef>
              <c:f>'VM Javeriana Ubuntu 4 hilos'!$L$15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'VM Javeriana Ubuntu 4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hilos'!$L$16:$L$20</c:f>
              <c:numCache>
                <c:formatCode>#,##0\ "ms"</c:formatCode>
                <c:ptCount val="5"/>
                <c:pt idx="0">
                  <c:v>21374004.666666668</c:v>
                </c:pt>
                <c:pt idx="1">
                  <c:v>10246799</c:v>
                </c:pt>
                <c:pt idx="2">
                  <c:v>5265513.9000000004</c:v>
                </c:pt>
                <c:pt idx="3">
                  <c:v>4128583.6333333333</c:v>
                </c:pt>
                <c:pt idx="4">
                  <c:v>4422448.0666666664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98-4239-947F-B49B42227EC2}"/>
            </c:ext>
          </c:extLst>
        </c:ser>
        <c:ser>
          <c:idx val="3"/>
          <c:order val="3"/>
          <c:tx>
            <c:strRef>
              <c:f>'VM Javeriana Ubuntu 4 hilos'!$M$15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'VM Javeriana Ubuntu 4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'VM Javeriana Ubuntu 4 hilos'!$M$16:$M$20</c:f>
              <c:numCache>
                <c:formatCode>#,##0\ "ms"</c:formatCode>
                <c:ptCount val="5"/>
                <c:pt idx="0">
                  <c:v>13084449.966666667</c:v>
                </c:pt>
                <c:pt idx="1">
                  <c:v>65377128.100000001</c:v>
                </c:pt>
                <c:pt idx="2">
                  <c:v>58872844.100000001</c:v>
                </c:pt>
                <c:pt idx="3">
                  <c:v>39674971.133333333</c:v>
                </c:pt>
                <c:pt idx="4">
                  <c:v>70249882.766666666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98-4239-947F-B49B42227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Replit 8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50x50</a:t>
            </a:r>
          </a:p>
        </c:rich>
      </c:tx>
      <c:layout>
        <c:manualLayout>
          <c:xMode val="edge"/>
          <c:yMode val="edge"/>
          <c:x val="0.16740266123720915"/>
          <c:y val="2.3811304090368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'Replit 8 hilos'!$C$5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'Replit 8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hilos'!$C$6:$C$10</c:f>
              <c:numCache>
                <c:formatCode>#,##0\ "ms"</c:formatCode>
                <c:ptCount val="5"/>
                <c:pt idx="0">
                  <c:v>320.46666666666664</c:v>
                </c:pt>
                <c:pt idx="1">
                  <c:v>351.96666666666664</c:v>
                </c:pt>
                <c:pt idx="2">
                  <c:v>853.8</c:v>
                </c:pt>
                <c:pt idx="3">
                  <c:v>1446.2666666666667</c:v>
                </c:pt>
                <c:pt idx="4">
                  <c:v>1439.1333333333334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7F-463F-842A-00A1669C3E3A}"/>
            </c:ext>
          </c:extLst>
        </c:ser>
        <c:ser>
          <c:idx val="1"/>
          <c:order val="1"/>
          <c:tx>
            <c:strRef>
              <c:f>'Replit 8 hilos'!$D$5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'Replit 8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hilos'!$D$6:$D$10</c:f>
              <c:numCache>
                <c:formatCode>#,##0\ "ms"</c:formatCode>
                <c:ptCount val="5"/>
                <c:pt idx="0">
                  <c:v>77.13333333333334</c:v>
                </c:pt>
                <c:pt idx="1">
                  <c:v>432.6</c:v>
                </c:pt>
                <c:pt idx="2">
                  <c:v>1354</c:v>
                </c:pt>
                <c:pt idx="3">
                  <c:v>466.93333333333334</c:v>
                </c:pt>
                <c:pt idx="4">
                  <c:v>590.16666666666663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7F-463F-842A-00A1669C3E3A}"/>
            </c:ext>
          </c:extLst>
        </c:ser>
        <c:ser>
          <c:idx val="2"/>
          <c:order val="2"/>
          <c:tx>
            <c:strRef>
              <c:f>'Replit 8 hilos'!$E$5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'Replit 8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hilos'!$E$6:$E$10</c:f>
              <c:numCache>
                <c:formatCode>#,##0\ "ms"</c:formatCode>
                <c:ptCount val="5"/>
                <c:pt idx="0">
                  <c:v>1811.3333333333333</c:v>
                </c:pt>
                <c:pt idx="1">
                  <c:v>1046.7</c:v>
                </c:pt>
                <c:pt idx="2">
                  <c:v>1447.4</c:v>
                </c:pt>
                <c:pt idx="3">
                  <c:v>1261.6333333333334</c:v>
                </c:pt>
                <c:pt idx="4">
                  <c:v>1182.2666666666667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7F-463F-842A-00A1669C3E3A}"/>
            </c:ext>
          </c:extLst>
        </c:ser>
        <c:ser>
          <c:idx val="3"/>
          <c:order val="3"/>
          <c:tx>
            <c:strRef>
              <c:f>'Replit 8 hilos'!$F$5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'Replit 8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hilos'!$F$6:$F$10</c:f>
              <c:numCache>
                <c:formatCode>#,##0\ "ms"</c:formatCode>
                <c:ptCount val="5"/>
                <c:pt idx="0">
                  <c:v>141.06666666666666</c:v>
                </c:pt>
                <c:pt idx="1">
                  <c:v>1776.8</c:v>
                </c:pt>
                <c:pt idx="2">
                  <c:v>7505.6333333333332</c:v>
                </c:pt>
                <c:pt idx="3">
                  <c:v>3525.7</c:v>
                </c:pt>
                <c:pt idx="4">
                  <c:v>1583.5333333333333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7F-463F-842A-00A1669C3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Replit 8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'Replit 8 hilos'!$J$5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'Replit 8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hilos'!$J$6:$J$10</c:f>
              <c:numCache>
                <c:formatCode>#,##0\ "ms"</c:formatCode>
                <c:ptCount val="5"/>
                <c:pt idx="0">
                  <c:v>975.06666666666672</c:v>
                </c:pt>
                <c:pt idx="1">
                  <c:v>881.2</c:v>
                </c:pt>
                <c:pt idx="2">
                  <c:v>770.1</c:v>
                </c:pt>
                <c:pt idx="3">
                  <c:v>2088.9333333333334</c:v>
                </c:pt>
                <c:pt idx="4">
                  <c:v>2502.8333333333335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5-4232-BB19-7B8F3BBA5078}"/>
            </c:ext>
          </c:extLst>
        </c:ser>
        <c:ser>
          <c:idx val="1"/>
          <c:order val="1"/>
          <c:tx>
            <c:strRef>
              <c:f>'Replit 8 hilos'!$K$5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'Replit 8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hilos'!$K$6:$K$10</c:f>
              <c:numCache>
                <c:formatCode>#,##0\ "ms"</c:formatCode>
                <c:ptCount val="5"/>
                <c:pt idx="0">
                  <c:v>680.56666666666672</c:v>
                </c:pt>
                <c:pt idx="1">
                  <c:v>459.5</c:v>
                </c:pt>
                <c:pt idx="2">
                  <c:v>3501.5</c:v>
                </c:pt>
                <c:pt idx="3">
                  <c:v>963.13333333333333</c:v>
                </c:pt>
                <c:pt idx="4">
                  <c:v>692.76666666666665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5-4232-BB19-7B8F3BBA5078}"/>
            </c:ext>
          </c:extLst>
        </c:ser>
        <c:ser>
          <c:idx val="2"/>
          <c:order val="2"/>
          <c:tx>
            <c:strRef>
              <c:f>'Replit 8 hilos'!$L$5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'Replit 8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hilos'!$L$6:$L$10</c:f>
              <c:numCache>
                <c:formatCode>#,##0\ "ms"</c:formatCode>
                <c:ptCount val="5"/>
                <c:pt idx="0">
                  <c:v>1709.8333333333333</c:v>
                </c:pt>
                <c:pt idx="1">
                  <c:v>1229.3666666666666</c:v>
                </c:pt>
                <c:pt idx="2">
                  <c:v>1223.2666666666667</c:v>
                </c:pt>
                <c:pt idx="3">
                  <c:v>1577.0666666666666</c:v>
                </c:pt>
                <c:pt idx="4">
                  <c:v>1974.8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B5-4232-BB19-7B8F3BBA5078}"/>
            </c:ext>
          </c:extLst>
        </c:ser>
        <c:ser>
          <c:idx val="3"/>
          <c:order val="3"/>
          <c:tx>
            <c:strRef>
              <c:f>'Replit 8 hilos'!$M$5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'Replit 8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hilos'!$M$6:$M$10</c:f>
              <c:numCache>
                <c:formatCode>#,##0\ "ms"</c:formatCode>
                <c:ptCount val="5"/>
                <c:pt idx="0">
                  <c:v>1506.4666666666667</c:v>
                </c:pt>
                <c:pt idx="1">
                  <c:v>4336</c:v>
                </c:pt>
                <c:pt idx="2">
                  <c:v>8065</c:v>
                </c:pt>
                <c:pt idx="3">
                  <c:v>5557.4666666666662</c:v>
                </c:pt>
                <c:pt idx="4">
                  <c:v>1994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B5-4232-BB19-7B8F3BBA5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Replit 8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500x500</a:t>
            </a:r>
          </a:p>
        </c:rich>
      </c:tx>
      <c:layout>
        <c:manualLayout>
          <c:xMode val="edge"/>
          <c:yMode val="edge"/>
          <c:x val="0.25226848431405263"/>
          <c:y val="2.7319485309051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'Replit 8 hilos'!$Q$5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'Replit 8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hilos'!$Q$6:$Q$10</c:f>
              <c:numCache>
                <c:formatCode>#,##0\ "ms"</c:formatCode>
                <c:ptCount val="5"/>
                <c:pt idx="0">
                  <c:v>117021.36666666667</c:v>
                </c:pt>
                <c:pt idx="1">
                  <c:v>110748.93333333333</c:v>
                </c:pt>
                <c:pt idx="2">
                  <c:v>129553.1</c:v>
                </c:pt>
                <c:pt idx="3">
                  <c:v>126029.13333333333</c:v>
                </c:pt>
                <c:pt idx="4">
                  <c:v>134010.23333333334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6-40F6-A8E1-C6C5CE6A18CE}"/>
            </c:ext>
          </c:extLst>
        </c:ser>
        <c:ser>
          <c:idx val="1"/>
          <c:order val="1"/>
          <c:tx>
            <c:strRef>
              <c:f>'Replit 8 hilos'!$R$5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'Replit 8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hilos'!$R$6:$R$10</c:f>
              <c:numCache>
                <c:formatCode>#,##0\ "ms"</c:formatCode>
                <c:ptCount val="5"/>
                <c:pt idx="0">
                  <c:v>115084.53333333334</c:v>
                </c:pt>
                <c:pt idx="1">
                  <c:v>114101.03333333334</c:v>
                </c:pt>
                <c:pt idx="2">
                  <c:v>133641.79999999999</c:v>
                </c:pt>
                <c:pt idx="3">
                  <c:v>115451.33333333333</c:v>
                </c:pt>
                <c:pt idx="4">
                  <c:v>122604.6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46-40F6-A8E1-C6C5CE6A18CE}"/>
            </c:ext>
          </c:extLst>
        </c:ser>
        <c:ser>
          <c:idx val="2"/>
          <c:order val="2"/>
          <c:tx>
            <c:strRef>
              <c:f>'Replit 8 hilos'!$S$5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'Replit 8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hilos'!$S$6:$S$10</c:f>
              <c:numCache>
                <c:formatCode>#,##0\ "ms"</c:formatCode>
                <c:ptCount val="5"/>
                <c:pt idx="0">
                  <c:v>114393.7</c:v>
                </c:pt>
                <c:pt idx="1">
                  <c:v>109309</c:v>
                </c:pt>
                <c:pt idx="2">
                  <c:v>114348.33333333333</c:v>
                </c:pt>
                <c:pt idx="3">
                  <c:v>120554.93333333333</c:v>
                </c:pt>
                <c:pt idx="4">
                  <c:v>131966.13333333333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46-40F6-A8E1-C6C5CE6A18CE}"/>
            </c:ext>
          </c:extLst>
        </c:ser>
        <c:ser>
          <c:idx val="3"/>
          <c:order val="3"/>
          <c:tx>
            <c:strRef>
              <c:f>'Replit 8 hilos'!$T$5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'Replit 8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hilos'!$T$6:$T$10</c:f>
              <c:numCache>
                <c:formatCode>#,##0\ "ms"</c:formatCode>
                <c:ptCount val="5"/>
                <c:pt idx="0">
                  <c:v>160720.4</c:v>
                </c:pt>
                <c:pt idx="1">
                  <c:v>146649.63333333333</c:v>
                </c:pt>
                <c:pt idx="2">
                  <c:v>146732.53333333333</c:v>
                </c:pt>
                <c:pt idx="3">
                  <c:v>135386.9</c:v>
                </c:pt>
                <c:pt idx="4">
                  <c:v>131370.33333333334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46-40F6-A8E1-C6C5CE6A1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Replit 8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1000x1000</a:t>
            </a:r>
          </a:p>
        </c:rich>
      </c:tx>
      <c:layout>
        <c:manualLayout>
          <c:xMode val="edge"/>
          <c:yMode val="edge"/>
          <c:x val="0.27789759230850969"/>
          <c:y val="2.0827348285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'Replit 8 hilos'!$C$15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'Replit 8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hilos'!$C$16:$C$20</c:f>
              <c:numCache>
                <c:formatCode>#,##0\ "ms"</c:formatCode>
                <c:ptCount val="5"/>
                <c:pt idx="0">
                  <c:v>933810.43333333335</c:v>
                </c:pt>
                <c:pt idx="1">
                  <c:v>935846.16666666663</c:v>
                </c:pt>
                <c:pt idx="2">
                  <c:v>1038730.3666666667</c:v>
                </c:pt>
                <c:pt idx="3">
                  <c:v>1087144.6333333333</c:v>
                </c:pt>
                <c:pt idx="4">
                  <c:v>1087144.6333333333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4-45D5-92AD-A9E3882C761E}"/>
            </c:ext>
          </c:extLst>
        </c:ser>
        <c:ser>
          <c:idx val="1"/>
          <c:order val="1"/>
          <c:tx>
            <c:strRef>
              <c:f>'Replit 8 hilos'!$D$15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'Replit 8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hilos'!$D$16:$D$20</c:f>
              <c:numCache>
                <c:formatCode>#,##0\ "ms"</c:formatCode>
                <c:ptCount val="5"/>
                <c:pt idx="0">
                  <c:v>1002872.1666666666</c:v>
                </c:pt>
                <c:pt idx="1">
                  <c:v>958215.93333333335</c:v>
                </c:pt>
                <c:pt idx="2">
                  <c:v>1019348.0333333333</c:v>
                </c:pt>
                <c:pt idx="3">
                  <c:v>1058403.3333333333</c:v>
                </c:pt>
                <c:pt idx="4">
                  <c:v>1058403.3333333333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84-45D5-92AD-A9E3882C761E}"/>
            </c:ext>
          </c:extLst>
        </c:ser>
        <c:ser>
          <c:idx val="2"/>
          <c:order val="2"/>
          <c:tx>
            <c:strRef>
              <c:f>'Replit 8 hilos'!$E$15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'Replit 8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hilos'!$E$16:$E$20</c:f>
              <c:numCache>
                <c:formatCode>#,##0\ "ms"</c:formatCode>
                <c:ptCount val="5"/>
                <c:pt idx="0">
                  <c:v>933697.56666666665</c:v>
                </c:pt>
                <c:pt idx="1">
                  <c:v>920751.43333333335</c:v>
                </c:pt>
                <c:pt idx="2">
                  <c:v>995521.73333333328</c:v>
                </c:pt>
                <c:pt idx="3">
                  <c:v>1067881.5666666667</c:v>
                </c:pt>
                <c:pt idx="4">
                  <c:v>1067881.5666666667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84-45D5-92AD-A9E3882C761E}"/>
            </c:ext>
          </c:extLst>
        </c:ser>
        <c:ser>
          <c:idx val="3"/>
          <c:order val="3"/>
          <c:tx>
            <c:strRef>
              <c:f>'Replit 8 hilos'!$F$15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'Replit 8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hilos'!$F$16:$F$20</c:f>
              <c:numCache>
                <c:formatCode>#,##0\ "ms"</c:formatCode>
                <c:ptCount val="5"/>
                <c:pt idx="0">
                  <c:v>1213799.5666666667</c:v>
                </c:pt>
                <c:pt idx="1">
                  <c:v>1099939.2666666666</c:v>
                </c:pt>
                <c:pt idx="2">
                  <c:v>1103606.8</c:v>
                </c:pt>
                <c:pt idx="3">
                  <c:v>1097460.4333333333</c:v>
                </c:pt>
                <c:pt idx="4">
                  <c:v>1097460.4333333333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84-45D5-92AD-A9E3882C7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Replit 8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1500x1500</a:t>
            </a:r>
          </a:p>
        </c:rich>
      </c:tx>
      <c:layout>
        <c:manualLayout>
          <c:xMode val="edge"/>
          <c:yMode val="edge"/>
          <c:x val="0.17845962728185547"/>
          <c:y val="3.179336123847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074662100468308"/>
          <c:y val="0.11179461993087964"/>
          <c:w val="0.8390631866365833"/>
          <c:h val="0.676853194596794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'Replit 8 hilos'!$J$15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'Replit 8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hilos'!$J$16:$J$20</c:f>
              <c:numCache>
                <c:formatCode>#,##0\ "ms"</c:formatCode>
                <c:ptCount val="5"/>
                <c:pt idx="0">
                  <c:v>5172375.3</c:v>
                </c:pt>
                <c:pt idx="1">
                  <c:v>4930737.666666667</c:v>
                </c:pt>
                <c:pt idx="2">
                  <c:v>4705963.3</c:v>
                </c:pt>
                <c:pt idx="3">
                  <c:v>4827072.5999999996</c:v>
                </c:pt>
                <c:pt idx="4">
                  <c:v>4872267.0666666664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CE-42C2-993D-F09E5BAE5196}"/>
            </c:ext>
          </c:extLst>
        </c:ser>
        <c:ser>
          <c:idx val="1"/>
          <c:order val="1"/>
          <c:tx>
            <c:strRef>
              <c:f>'Replit 8 hilos'!$K$15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'Replit 8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hilos'!$K$16:$K$20</c:f>
              <c:numCache>
                <c:formatCode>#,##0\ "ms"</c:formatCode>
                <c:ptCount val="5"/>
                <c:pt idx="0">
                  <c:v>5420694.4333333336</c:v>
                </c:pt>
                <c:pt idx="1">
                  <c:v>4888161.8</c:v>
                </c:pt>
                <c:pt idx="2">
                  <c:v>4620711.3</c:v>
                </c:pt>
                <c:pt idx="3">
                  <c:v>4802868.8</c:v>
                </c:pt>
                <c:pt idx="4">
                  <c:v>4796286.1333333338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CE-42C2-993D-F09E5BAE5196}"/>
            </c:ext>
          </c:extLst>
        </c:ser>
        <c:ser>
          <c:idx val="2"/>
          <c:order val="2"/>
          <c:tx>
            <c:strRef>
              <c:f>'Replit 8 hilos'!$L$15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'Replit 8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hilos'!$L$16:$L$20</c:f>
              <c:numCache>
                <c:formatCode>#,##0\ "ms"</c:formatCode>
                <c:ptCount val="5"/>
                <c:pt idx="0">
                  <c:v>5042656.2666666666</c:v>
                </c:pt>
                <c:pt idx="1">
                  <c:v>4607654.7</c:v>
                </c:pt>
                <c:pt idx="2">
                  <c:v>4610709.5333333332</c:v>
                </c:pt>
                <c:pt idx="3">
                  <c:v>4762460.5999999996</c:v>
                </c:pt>
                <c:pt idx="4">
                  <c:v>4807465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CE-42C2-993D-F09E5BAE5196}"/>
            </c:ext>
          </c:extLst>
        </c:ser>
        <c:ser>
          <c:idx val="3"/>
          <c:order val="3"/>
          <c:tx>
            <c:strRef>
              <c:f>'Replit 8 hilos'!$M$15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'Replit 8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'Replit 8 hilos'!$M$16:$M$20</c:f>
              <c:numCache>
                <c:formatCode>#,##0\ "ms"</c:formatCode>
                <c:ptCount val="5"/>
                <c:pt idx="0">
                  <c:v>4397756.2666666666</c:v>
                </c:pt>
                <c:pt idx="1">
                  <c:v>3787534.3666666667</c:v>
                </c:pt>
                <c:pt idx="2">
                  <c:v>3763904.2666666666</c:v>
                </c:pt>
                <c:pt idx="3">
                  <c:v>3714622.2666666666</c:v>
                </c:pt>
                <c:pt idx="4">
                  <c:v>3775640.0666666669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CE-42C2-993D-F09E5BAE5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12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50x50</a:t>
            </a:r>
          </a:p>
        </c:rich>
      </c:tx>
      <c:layout>
        <c:manualLayout>
          <c:xMode val="edge"/>
          <c:yMode val="edge"/>
          <c:x val="0.25548792024995687"/>
          <c:y val="3.3575904143096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12 hilos'!$C$5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12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hilos'!$C$6:$C$10</c:f>
              <c:numCache>
                <c:formatCode>#,##0\ "ms"</c:formatCode>
                <c:ptCount val="5"/>
                <c:pt idx="0">
                  <c:v>415.63333333333333</c:v>
                </c:pt>
                <c:pt idx="1">
                  <c:v>360.66666666666669</c:v>
                </c:pt>
                <c:pt idx="2">
                  <c:v>447.63333333333333</c:v>
                </c:pt>
                <c:pt idx="3">
                  <c:v>697.76666666666665</c:v>
                </c:pt>
                <c:pt idx="4">
                  <c:v>805.63333333333333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C-4E95-BC9E-BACEBDD255D3}"/>
            </c:ext>
          </c:extLst>
        </c:ser>
        <c:ser>
          <c:idx val="1"/>
          <c:order val="1"/>
          <c:tx>
            <c:strRef>
              <c:f>'Linux 12 hilos'!$D$5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12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hilos'!$D$6:$D$10</c:f>
              <c:numCache>
                <c:formatCode>#,##0\ "ms"</c:formatCode>
                <c:ptCount val="5"/>
                <c:pt idx="0">
                  <c:v>257.93333333333334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5C-4E95-BC9E-BACEBDD255D3}"/>
            </c:ext>
          </c:extLst>
        </c:ser>
        <c:ser>
          <c:idx val="2"/>
          <c:order val="2"/>
          <c:tx>
            <c:strRef>
              <c:f>'Linux 12 hilos'!$E$5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12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hilos'!$E$6:$E$10</c:f>
              <c:numCache>
                <c:formatCode>#,##0\ "ms"</c:formatCode>
                <c:ptCount val="5"/>
                <c:pt idx="0">
                  <c:v>437.8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5C-4E95-BC9E-BACEBDD255D3}"/>
            </c:ext>
          </c:extLst>
        </c:ser>
        <c:ser>
          <c:idx val="3"/>
          <c:order val="3"/>
          <c:tx>
            <c:strRef>
              <c:f>'Linux 12 hilos'!$F$5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12 hilos'!$B$6:$B$10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hilos'!$F$6:$F$10</c:f>
              <c:numCache>
                <c:formatCode>#,##0\ "ms"</c:formatCode>
                <c:ptCount val="5"/>
                <c:pt idx="0">
                  <c:v>256.33333333333331</c:v>
                </c:pt>
                <c:pt idx="1">
                  <c:v>168</c:v>
                </c:pt>
                <c:pt idx="2">
                  <c:v>229</c:v>
                </c:pt>
                <c:pt idx="3">
                  <c:v>448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5C-4E95-BC9E-BACEBDD25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12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12 hilos'!$J$5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12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hilos'!$J$6:$J$10</c:f>
              <c:numCache>
                <c:formatCode>#,##0\ "ms"</c:formatCode>
                <c:ptCount val="5"/>
                <c:pt idx="0">
                  <c:v>2033.7333333333333</c:v>
                </c:pt>
                <c:pt idx="1">
                  <c:v>1260.6666666666667</c:v>
                </c:pt>
                <c:pt idx="2">
                  <c:v>1055.5333333333333</c:v>
                </c:pt>
                <c:pt idx="3">
                  <c:v>1031.8666666666666</c:v>
                </c:pt>
                <c:pt idx="4">
                  <c:v>1153.7666666666667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EF-470F-85A2-52DD2651639F}"/>
            </c:ext>
          </c:extLst>
        </c:ser>
        <c:ser>
          <c:idx val="1"/>
          <c:order val="1"/>
          <c:tx>
            <c:strRef>
              <c:f>'Linux 12 hilos'!$K$5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12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hilos'!$K$6:$K$10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713.4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EF-470F-85A2-52DD2651639F}"/>
            </c:ext>
          </c:extLst>
        </c:ser>
        <c:ser>
          <c:idx val="2"/>
          <c:order val="2"/>
          <c:tx>
            <c:strRef>
              <c:f>'Linux 12 hilos'!$L$5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12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hilos'!$L$6:$L$10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813.66666666666663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EF-470F-85A2-52DD2651639F}"/>
            </c:ext>
          </c:extLst>
        </c:ser>
        <c:ser>
          <c:idx val="3"/>
          <c:order val="3"/>
          <c:tx>
            <c:strRef>
              <c:f>'Linux 12 hilos'!$M$5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12 hilos'!$I$6:$I$10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hilos'!$M$6:$M$10</c:f>
              <c:numCache>
                <c:formatCode>#,##0\ "ms"</c:formatCode>
                <c:ptCount val="5"/>
                <c:pt idx="0">
                  <c:v>1907</c:v>
                </c:pt>
                <c:pt idx="1">
                  <c:v>1078</c:v>
                </c:pt>
                <c:pt idx="2">
                  <c:v>674</c:v>
                </c:pt>
                <c:pt idx="3">
                  <c:v>707</c:v>
                </c:pt>
                <c:pt idx="4">
                  <c:v>8728.7000000000007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EF-470F-85A2-52DD26516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12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500x500</a:t>
            </a:r>
          </a:p>
        </c:rich>
      </c:tx>
      <c:layout>
        <c:manualLayout>
          <c:xMode val="edge"/>
          <c:yMode val="edge"/>
          <c:x val="0.25226848431405263"/>
          <c:y val="2.7319485309051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12 hilos'!$Q$5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12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hilos'!$Q$6:$Q$10</c:f>
              <c:numCache>
                <c:formatCode>#,##0\ "ms"</c:formatCode>
                <c:ptCount val="5"/>
                <c:pt idx="0">
                  <c:v>229871.3</c:v>
                </c:pt>
                <c:pt idx="1">
                  <c:v>158720.79999999999</c:v>
                </c:pt>
                <c:pt idx="2">
                  <c:v>76144.566666666666</c:v>
                </c:pt>
                <c:pt idx="3">
                  <c:v>46780.466666666667</c:v>
                </c:pt>
                <c:pt idx="4">
                  <c:v>39158.833333333336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6-4B8D-B68B-77E28814EC92}"/>
            </c:ext>
          </c:extLst>
        </c:ser>
        <c:ser>
          <c:idx val="1"/>
          <c:order val="1"/>
          <c:tx>
            <c:strRef>
              <c:f>'Linux 12 hilos'!$R$5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12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hilos'!$R$6:$R$10</c:f>
              <c:numCache>
                <c:formatCode>#,##0\ "ms"</c:formatCode>
                <c:ptCount val="5"/>
                <c:pt idx="0">
                  <c:v>242046.93333333332</c:v>
                </c:pt>
                <c:pt idx="1">
                  <c:v>122834.13333333333</c:v>
                </c:pt>
                <c:pt idx="2">
                  <c:v>78625.666666666672</c:v>
                </c:pt>
                <c:pt idx="3">
                  <c:v>49512.566666666666</c:v>
                </c:pt>
                <c:pt idx="4">
                  <c:v>41767.9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6-4B8D-B68B-77E28814EC92}"/>
            </c:ext>
          </c:extLst>
        </c:ser>
        <c:ser>
          <c:idx val="2"/>
          <c:order val="2"/>
          <c:tx>
            <c:strRef>
              <c:f>'Linux 12 hilos'!$S$5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12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hilos'!$S$6:$S$10</c:f>
              <c:numCache>
                <c:formatCode>#,##0\ "ms"</c:formatCode>
                <c:ptCount val="5"/>
                <c:pt idx="0">
                  <c:v>231003</c:v>
                </c:pt>
                <c:pt idx="1">
                  <c:v>122967.5</c:v>
                </c:pt>
                <c:pt idx="2">
                  <c:v>77034.100000000006</c:v>
                </c:pt>
                <c:pt idx="3">
                  <c:v>47523.23333333333</c:v>
                </c:pt>
                <c:pt idx="4">
                  <c:v>39510.6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C6-4B8D-B68B-77E28814EC92}"/>
            </c:ext>
          </c:extLst>
        </c:ser>
        <c:ser>
          <c:idx val="3"/>
          <c:order val="3"/>
          <c:tx>
            <c:strRef>
              <c:f>'Linux 12 hilos'!$T$5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12 hilos'!$P$6:$P$10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hilos'!$T$6:$T$10</c:f>
              <c:numCache>
                <c:formatCode>#,##0\ "ms"</c:formatCode>
                <c:ptCount val="5"/>
                <c:pt idx="0">
                  <c:v>246135.73333333334</c:v>
                </c:pt>
                <c:pt idx="1">
                  <c:v>706038.93333333335</c:v>
                </c:pt>
                <c:pt idx="2">
                  <c:v>890051.33333333337</c:v>
                </c:pt>
                <c:pt idx="3">
                  <c:v>763243.6</c:v>
                </c:pt>
                <c:pt idx="4">
                  <c:v>1014267.5333333333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C6-4B8D-B68B-77E28814E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12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1000x1000</a:t>
            </a:r>
          </a:p>
        </c:rich>
      </c:tx>
      <c:layout>
        <c:manualLayout>
          <c:xMode val="edge"/>
          <c:yMode val="edge"/>
          <c:x val="0.27789759230850969"/>
          <c:y val="2.0827348285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12 hilos'!$C$15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12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hilos'!$C$16:$C$20</c:f>
              <c:numCache>
                <c:formatCode>#,##0\ "ms"</c:formatCode>
                <c:ptCount val="5"/>
                <c:pt idx="0">
                  <c:v>2003101.6666666667</c:v>
                </c:pt>
                <c:pt idx="1">
                  <c:v>1098625.6333333333</c:v>
                </c:pt>
                <c:pt idx="2">
                  <c:v>650771.6333333333</c:v>
                </c:pt>
                <c:pt idx="3">
                  <c:v>451495.8</c:v>
                </c:pt>
                <c:pt idx="4">
                  <c:v>400235.76666666666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5-4585-A634-9E3AE8654F51}"/>
            </c:ext>
          </c:extLst>
        </c:ser>
        <c:ser>
          <c:idx val="1"/>
          <c:order val="1"/>
          <c:tx>
            <c:strRef>
              <c:f>'Linux 12 hilos'!$D$15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12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hilos'!$D$16:$D$20</c:f>
              <c:numCache>
                <c:formatCode>#,##0\ "ms"</c:formatCode>
                <c:ptCount val="5"/>
                <c:pt idx="0">
                  <c:v>2258262</c:v>
                </c:pt>
                <c:pt idx="1">
                  <c:v>1227186.3666666667</c:v>
                </c:pt>
                <c:pt idx="2">
                  <c:v>704286.93333333335</c:v>
                </c:pt>
                <c:pt idx="3">
                  <c:v>454524.76666666666</c:v>
                </c:pt>
                <c:pt idx="4">
                  <c:v>396629.96666666667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5-4585-A634-9E3AE8654F51}"/>
            </c:ext>
          </c:extLst>
        </c:ser>
        <c:ser>
          <c:idx val="2"/>
          <c:order val="2"/>
          <c:tx>
            <c:strRef>
              <c:f>'Linux 12 hilos'!$E$15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12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hilos'!$E$16:$E$20</c:f>
              <c:numCache>
                <c:formatCode>#,##0\ "ms"</c:formatCode>
                <c:ptCount val="5"/>
                <c:pt idx="0">
                  <c:v>1991854.4666666666</c:v>
                </c:pt>
                <c:pt idx="1">
                  <c:v>1084408.6000000001</c:v>
                </c:pt>
                <c:pt idx="2">
                  <c:v>679094.43333333335</c:v>
                </c:pt>
                <c:pt idx="3">
                  <c:v>446858.96666666667</c:v>
                </c:pt>
                <c:pt idx="4">
                  <c:v>401744.86666666664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55-4585-A634-9E3AE8654F51}"/>
            </c:ext>
          </c:extLst>
        </c:ser>
        <c:ser>
          <c:idx val="3"/>
          <c:order val="3"/>
          <c:tx>
            <c:strRef>
              <c:f>'Linux 12 hilos'!$F$15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12 hilos'!$B$16:$B$20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hilos'!$F$16:$F$20</c:f>
              <c:numCache>
                <c:formatCode>#,##0\ "ms"</c:formatCode>
                <c:ptCount val="5"/>
                <c:pt idx="0">
                  <c:v>2026459.8333333333</c:v>
                </c:pt>
                <c:pt idx="1">
                  <c:v>4612067.666666667</c:v>
                </c:pt>
                <c:pt idx="2">
                  <c:v>6340739.6333333338</c:v>
                </c:pt>
                <c:pt idx="3">
                  <c:v>9448166.7666666675</c:v>
                </c:pt>
                <c:pt idx="4">
                  <c:v>6796339.0333333332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55-4585-A634-9E3AE8654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12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1500x1500</a:t>
            </a:r>
          </a:p>
        </c:rich>
      </c:tx>
      <c:layout>
        <c:manualLayout>
          <c:xMode val="edge"/>
          <c:yMode val="edge"/>
          <c:x val="0.17845962728185547"/>
          <c:y val="3.179336123847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074662100468308"/>
          <c:y val="0.11179461993087964"/>
          <c:w val="0.8390631866365833"/>
          <c:h val="0.676853194596794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'Linux 12 hilos'!$J$15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12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hilos'!$J$16:$J$20</c:f>
              <c:numCache>
                <c:formatCode>#,##0\ "ms"</c:formatCode>
                <c:ptCount val="5"/>
                <c:pt idx="0">
                  <c:v>8489286.3000000007</c:v>
                </c:pt>
                <c:pt idx="1">
                  <c:v>4827584.5</c:v>
                </c:pt>
                <c:pt idx="2">
                  <c:v>2882152.8</c:v>
                </c:pt>
                <c:pt idx="3">
                  <c:v>1983089.6333333333</c:v>
                </c:pt>
                <c:pt idx="4">
                  <c:v>1951863.8666666667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3-494F-8D01-DE4F7F3D7CC9}"/>
            </c:ext>
          </c:extLst>
        </c:ser>
        <c:ser>
          <c:idx val="1"/>
          <c:order val="1"/>
          <c:tx>
            <c:strRef>
              <c:f>'Linux 12 hilos'!$K$15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12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hilos'!$K$16:$K$20</c:f>
              <c:numCache>
                <c:formatCode>#,##0\ "ms"</c:formatCode>
                <c:ptCount val="5"/>
                <c:pt idx="0">
                  <c:v>8806190.5666666664</c:v>
                </c:pt>
                <c:pt idx="1">
                  <c:v>4849300</c:v>
                </c:pt>
                <c:pt idx="2">
                  <c:v>2886995.7</c:v>
                </c:pt>
                <c:pt idx="3">
                  <c:v>1940096.3333333333</c:v>
                </c:pt>
                <c:pt idx="4">
                  <c:v>1796019.8666666667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93-494F-8D01-DE4F7F3D7CC9}"/>
            </c:ext>
          </c:extLst>
        </c:ser>
        <c:ser>
          <c:idx val="2"/>
          <c:order val="2"/>
          <c:tx>
            <c:strRef>
              <c:f>'Linux 12 hilos'!$L$15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12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hilos'!$L$16:$L$20</c:f>
              <c:numCache>
                <c:formatCode>#,##0\ "ms"</c:formatCode>
                <c:ptCount val="5"/>
                <c:pt idx="0">
                  <c:v>8612529.666666666</c:v>
                </c:pt>
                <c:pt idx="1">
                  <c:v>4943792.333333333</c:v>
                </c:pt>
                <c:pt idx="2">
                  <c:v>2903714.2</c:v>
                </c:pt>
                <c:pt idx="3">
                  <c:v>2026874.8</c:v>
                </c:pt>
                <c:pt idx="4">
                  <c:v>1941274.8333333333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93-494F-8D01-DE4F7F3D7CC9}"/>
            </c:ext>
          </c:extLst>
        </c:ser>
        <c:ser>
          <c:idx val="3"/>
          <c:order val="3"/>
          <c:tx>
            <c:strRef>
              <c:f>'Linux 12 hilos'!$M$15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12 hilos'!$I$16:$I$20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12 hilos'!$M$16:$M$20</c:f>
              <c:numCache>
                <c:formatCode>#,##0\ "ms"</c:formatCode>
                <c:ptCount val="5"/>
                <c:pt idx="0">
                  <c:v>7011196.4333333336</c:v>
                </c:pt>
                <c:pt idx="1">
                  <c:v>22772497.133333333</c:v>
                </c:pt>
                <c:pt idx="2">
                  <c:v>28115669.366666667</c:v>
                </c:pt>
                <c:pt idx="3">
                  <c:v>25132179.633333333</c:v>
                </c:pt>
                <c:pt idx="4">
                  <c:v>21790721.199999999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93-494F-8D01-DE4F7F3D7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16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50x50</a:t>
            </a:r>
          </a:p>
        </c:rich>
      </c:tx>
      <c:layout>
        <c:manualLayout>
          <c:xMode val="edge"/>
          <c:yMode val="edge"/>
          <c:x val="0.25548792024995687"/>
          <c:y val="3.3575904143096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16'!$C$5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16'!$B$6:$B$10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16'!$C$6:$C$10</c:f>
              <c:numCache>
                <c:formatCode>#,##0\ "ms"</c:formatCode>
                <c:ptCount val="5"/>
                <c:pt idx="0">
                  <c:v>1515.7333333333333</c:v>
                </c:pt>
                <c:pt idx="1">
                  <c:v>1332.1</c:v>
                </c:pt>
                <c:pt idx="2">
                  <c:v>1635.9666666666667</c:v>
                </c:pt>
                <c:pt idx="3">
                  <c:v>2715</c:v>
                </c:pt>
                <c:pt idx="4">
                  <c:v>2417.3000000000002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C3-4FFC-B219-9F827684DA11}"/>
            </c:ext>
          </c:extLst>
        </c:ser>
        <c:ser>
          <c:idx val="1"/>
          <c:order val="1"/>
          <c:tx>
            <c:strRef>
              <c:f>'Linux 16'!$D$5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16'!$B$6:$B$10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16'!$D$6:$D$10</c:f>
              <c:numCache>
                <c:formatCode>#,##0\ "ms"</c:formatCode>
                <c:ptCount val="5"/>
                <c:pt idx="0">
                  <c:v>346.13333333333333</c:v>
                </c:pt>
                <c:pt idx="1">
                  <c:v>577.76666666666665</c:v>
                </c:pt>
                <c:pt idx="2">
                  <c:v>662.5333333333333</c:v>
                </c:pt>
                <c:pt idx="3">
                  <c:v>1169.0333333333333</c:v>
                </c:pt>
                <c:pt idx="4">
                  <c:v>1366.1333333333334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C3-4FFC-B219-9F827684DA11}"/>
            </c:ext>
          </c:extLst>
        </c:ser>
        <c:ser>
          <c:idx val="2"/>
          <c:order val="2"/>
          <c:tx>
            <c:strRef>
              <c:f>'Linux 16'!$E$5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16'!$B$6:$B$10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16'!$E$6:$E$10</c:f>
              <c:numCache>
                <c:formatCode>#,##0\ "ms"</c:formatCode>
                <c:ptCount val="5"/>
                <c:pt idx="0">
                  <c:v>1941.6</c:v>
                </c:pt>
                <c:pt idx="1">
                  <c:v>1133.0999999999999</c:v>
                </c:pt>
                <c:pt idx="2">
                  <c:v>1217.6666666666667</c:v>
                </c:pt>
                <c:pt idx="3">
                  <c:v>1862.3</c:v>
                </c:pt>
                <c:pt idx="4">
                  <c:v>1986.6666666666667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C3-4FFC-B219-9F827684DA11}"/>
            </c:ext>
          </c:extLst>
        </c:ser>
        <c:ser>
          <c:idx val="3"/>
          <c:order val="3"/>
          <c:tx>
            <c:strRef>
              <c:f>'Linux 16'!$F$5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16'!$B$6:$B$10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16'!$F$6:$F$10</c:f>
              <c:numCache>
                <c:formatCode>#,##0\ "ms"</c:formatCode>
                <c:ptCount val="5"/>
                <c:pt idx="0">
                  <c:v>457.06666666666666</c:v>
                </c:pt>
                <c:pt idx="1">
                  <c:v>1481.8</c:v>
                </c:pt>
                <c:pt idx="2">
                  <c:v>2822.5333333333333</c:v>
                </c:pt>
                <c:pt idx="3">
                  <c:v>3330.4666666666667</c:v>
                </c:pt>
                <c:pt idx="4">
                  <c:v>4624.5333333333338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C3-4FFC-B219-9F827684D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16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Multiplicación de Matrices 100x100</a:t>
            </a:r>
          </a:p>
        </c:rich>
      </c:tx>
      <c:layout>
        <c:manualLayout>
          <c:xMode val="edge"/>
          <c:yMode val="edge"/>
          <c:x val="0.16605154394367505"/>
          <c:y val="2.7319477716719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16'!$J$5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16'!$I$6:$I$10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16'!$J$6:$J$10</c:f>
              <c:numCache>
                <c:formatCode>#,##0\ "ms"</c:formatCode>
                <c:ptCount val="5"/>
                <c:pt idx="0">
                  <c:v>4495.7</c:v>
                </c:pt>
                <c:pt idx="1">
                  <c:v>3054.8666666666668</c:v>
                </c:pt>
                <c:pt idx="2">
                  <c:v>2673.3</c:v>
                </c:pt>
                <c:pt idx="3">
                  <c:v>2881.6333333333332</c:v>
                </c:pt>
                <c:pt idx="4">
                  <c:v>2620.8000000000002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5A-4148-B43A-FF6EC8CBB615}"/>
            </c:ext>
          </c:extLst>
        </c:ser>
        <c:ser>
          <c:idx val="1"/>
          <c:order val="1"/>
          <c:tx>
            <c:strRef>
              <c:f>'Linux 16'!$K$5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16'!$I$6:$I$10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16'!$K$6:$K$10</c:f>
              <c:numCache>
                <c:formatCode>#,##0\ "ms"</c:formatCode>
                <c:ptCount val="5"/>
                <c:pt idx="0">
                  <c:v>3094.3</c:v>
                </c:pt>
                <c:pt idx="1">
                  <c:v>2271.0666666666666</c:v>
                </c:pt>
                <c:pt idx="2">
                  <c:v>1904.2333333333333</c:v>
                </c:pt>
                <c:pt idx="3">
                  <c:v>1791.6666666666667</c:v>
                </c:pt>
                <c:pt idx="4">
                  <c:v>2043.3666666666666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5A-4148-B43A-FF6EC8CBB615}"/>
            </c:ext>
          </c:extLst>
        </c:ser>
        <c:ser>
          <c:idx val="2"/>
          <c:order val="2"/>
          <c:tx>
            <c:strRef>
              <c:f>'Linux 16'!$L$5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16'!$I$6:$I$10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16'!$L$6:$L$10</c:f>
              <c:numCache>
                <c:formatCode>#,##0\ "ms"</c:formatCode>
                <c:ptCount val="5"/>
                <c:pt idx="0">
                  <c:v>4089.3</c:v>
                </c:pt>
                <c:pt idx="1">
                  <c:v>2588.7666666666669</c:v>
                </c:pt>
                <c:pt idx="2">
                  <c:v>2207.2333333333331</c:v>
                </c:pt>
                <c:pt idx="3">
                  <c:v>1884.4666666666667</c:v>
                </c:pt>
                <c:pt idx="4">
                  <c:v>2203.3000000000002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5A-4148-B43A-FF6EC8CBB615}"/>
            </c:ext>
          </c:extLst>
        </c:ser>
        <c:ser>
          <c:idx val="3"/>
          <c:order val="3"/>
          <c:tx>
            <c:strRef>
              <c:f>'Linux 16'!$M$5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16'!$I$6:$I$10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16'!$M$6:$M$10</c:f>
              <c:numCache>
                <c:formatCode>#,##0\ "ms"</c:formatCode>
                <c:ptCount val="5"/>
                <c:pt idx="0">
                  <c:v>3184.3333333333335</c:v>
                </c:pt>
                <c:pt idx="1">
                  <c:v>8739.2666666666664</c:v>
                </c:pt>
                <c:pt idx="2">
                  <c:v>19000.233333333334</c:v>
                </c:pt>
                <c:pt idx="3">
                  <c:v>23081.433333333334</c:v>
                </c:pt>
                <c:pt idx="4">
                  <c:v>25875.9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5A-4148-B43A-FF6EC8CBB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16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500x500</a:t>
            </a:r>
          </a:p>
        </c:rich>
      </c:tx>
      <c:layout>
        <c:manualLayout>
          <c:xMode val="edge"/>
          <c:yMode val="edge"/>
          <c:x val="0.25226848431405263"/>
          <c:y val="2.7319485309051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16'!$Q$5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16'!$P$6:$P$10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16'!$Q$6:$Q$10</c:f>
              <c:numCache>
                <c:formatCode>#,##0\ "ms"</c:formatCode>
                <c:ptCount val="5"/>
                <c:pt idx="0">
                  <c:v>443143.23333333334</c:v>
                </c:pt>
                <c:pt idx="1">
                  <c:v>246170.03333333333</c:v>
                </c:pt>
                <c:pt idx="2">
                  <c:v>147761.43333333332</c:v>
                </c:pt>
                <c:pt idx="3">
                  <c:v>97015.666666666672</c:v>
                </c:pt>
                <c:pt idx="4">
                  <c:v>83724.566666666666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3C-4FD3-9F09-6EB5C1D0AAA7}"/>
            </c:ext>
          </c:extLst>
        </c:ser>
        <c:ser>
          <c:idx val="1"/>
          <c:order val="1"/>
          <c:tx>
            <c:strRef>
              <c:f>'Linux 16'!$R$5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16'!$P$6:$P$10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16'!$R$6:$R$10</c:f>
              <c:numCache>
                <c:formatCode>#,##0\ "ms"</c:formatCode>
                <c:ptCount val="5"/>
                <c:pt idx="0">
                  <c:v>599782.03333333333</c:v>
                </c:pt>
                <c:pt idx="1">
                  <c:v>303497.86666666664</c:v>
                </c:pt>
                <c:pt idx="2">
                  <c:v>188760</c:v>
                </c:pt>
                <c:pt idx="3">
                  <c:v>109972.9</c:v>
                </c:pt>
                <c:pt idx="4">
                  <c:v>85268.333333333328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3C-4FD3-9F09-6EB5C1D0AAA7}"/>
            </c:ext>
          </c:extLst>
        </c:ser>
        <c:ser>
          <c:idx val="2"/>
          <c:order val="2"/>
          <c:tx>
            <c:strRef>
              <c:f>'Linux 16'!$S$5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16'!$P$6:$P$10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16'!$S$6:$S$10</c:f>
              <c:numCache>
                <c:formatCode>#,##0\ "ms"</c:formatCode>
                <c:ptCount val="5"/>
                <c:pt idx="0">
                  <c:v>395578.33333333331</c:v>
                </c:pt>
                <c:pt idx="1">
                  <c:v>161960.46666666667</c:v>
                </c:pt>
                <c:pt idx="2">
                  <c:v>139152.86666666667</c:v>
                </c:pt>
                <c:pt idx="3">
                  <c:v>91218.1</c:v>
                </c:pt>
                <c:pt idx="4">
                  <c:v>78180.566666666666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3C-4FD3-9F09-6EB5C1D0AAA7}"/>
            </c:ext>
          </c:extLst>
        </c:ser>
        <c:ser>
          <c:idx val="3"/>
          <c:order val="3"/>
          <c:tx>
            <c:strRef>
              <c:f>'Linux 16'!$T$5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16'!$P$6:$P$10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16'!$T$6:$T$10</c:f>
              <c:numCache>
                <c:formatCode>#,##0\ "ms"</c:formatCode>
                <c:ptCount val="5"/>
                <c:pt idx="0">
                  <c:v>331521.13333333336</c:v>
                </c:pt>
                <c:pt idx="1">
                  <c:v>1082274.1666666667</c:v>
                </c:pt>
                <c:pt idx="2">
                  <c:v>1842179.4333333333</c:v>
                </c:pt>
                <c:pt idx="3">
                  <c:v>2468527</c:v>
                </c:pt>
                <c:pt idx="4">
                  <c:v>2509010.2666666666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3C-4FD3-9F09-6EB5C1D0A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16 hilos</a:t>
            </a:r>
            <a:b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1000x1000</a:t>
            </a:r>
          </a:p>
        </c:rich>
      </c:tx>
      <c:layout>
        <c:manualLayout>
          <c:xMode val="edge"/>
          <c:yMode val="edge"/>
          <c:x val="0.27789759230850969"/>
          <c:y val="2.0827348285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'Linux 16'!$C$15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16'!$B$16:$B$20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16'!$C$16:$C$20</c:f>
              <c:numCache>
                <c:formatCode>#,##0\ "ms"</c:formatCode>
                <c:ptCount val="5"/>
                <c:pt idx="0">
                  <c:v>4180449.8666666667</c:v>
                </c:pt>
                <c:pt idx="1">
                  <c:v>2340885.8666666667</c:v>
                </c:pt>
                <c:pt idx="2">
                  <c:v>1558779.4</c:v>
                </c:pt>
                <c:pt idx="3">
                  <c:v>1033402</c:v>
                </c:pt>
                <c:pt idx="4">
                  <c:v>939460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1D-409A-922D-1366DBECA9D9}"/>
            </c:ext>
          </c:extLst>
        </c:ser>
        <c:ser>
          <c:idx val="1"/>
          <c:order val="1"/>
          <c:tx>
            <c:strRef>
              <c:f>'Linux 16'!$D$15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16'!$B$16:$B$20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16'!$D$16:$D$20</c:f>
              <c:numCache>
                <c:formatCode>#,##0\ "ms"</c:formatCode>
                <c:ptCount val="5"/>
                <c:pt idx="0">
                  <c:v>4412261.4333333336</c:v>
                </c:pt>
                <c:pt idx="1">
                  <c:v>2330266.6333333333</c:v>
                </c:pt>
                <c:pt idx="2">
                  <c:v>1597333.7</c:v>
                </c:pt>
                <c:pt idx="3">
                  <c:v>1120623.4666666666</c:v>
                </c:pt>
                <c:pt idx="4">
                  <c:v>1041796.3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1D-409A-922D-1366DBECA9D9}"/>
            </c:ext>
          </c:extLst>
        </c:ser>
        <c:ser>
          <c:idx val="2"/>
          <c:order val="2"/>
          <c:tx>
            <c:strRef>
              <c:f>'Linux 16'!$E$15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16'!$B$16:$B$20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16'!$E$16:$E$20</c:f>
              <c:numCache>
                <c:formatCode>#,##0\ "ms"</c:formatCode>
                <c:ptCount val="5"/>
                <c:pt idx="0">
                  <c:v>3856719.0333333332</c:v>
                </c:pt>
                <c:pt idx="1">
                  <c:v>2147555.2333333334</c:v>
                </c:pt>
                <c:pt idx="2">
                  <c:v>1378772.2333333334</c:v>
                </c:pt>
                <c:pt idx="3">
                  <c:v>934070.4</c:v>
                </c:pt>
                <c:pt idx="4">
                  <c:v>843160.3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1D-409A-922D-1366DBECA9D9}"/>
            </c:ext>
          </c:extLst>
        </c:ser>
        <c:ser>
          <c:idx val="3"/>
          <c:order val="3"/>
          <c:tx>
            <c:strRef>
              <c:f>'Linux 16'!$F$15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16'!$B$16:$B$20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16'!$F$16:$F$20</c:f>
              <c:numCache>
                <c:formatCode>#,##0\ "ms"</c:formatCode>
                <c:ptCount val="5"/>
                <c:pt idx="0">
                  <c:v>3066932.6333333333</c:v>
                </c:pt>
                <c:pt idx="1">
                  <c:v>8776908.0999999996</c:v>
                </c:pt>
                <c:pt idx="2">
                  <c:v>15083005.766666668</c:v>
                </c:pt>
                <c:pt idx="3">
                  <c:v>20001529.733333334</c:v>
                </c:pt>
                <c:pt idx="4">
                  <c:v>20796824.966666665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1D-409A-922D-1366DBECA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algoritmos en Linux 16  hilos</a:t>
            </a:r>
          </a:p>
          <a:p>
            <a:pPr>
              <a:defRPr/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Multiplicación de Matrices 1500x1500</a:t>
            </a:r>
          </a:p>
        </c:rich>
      </c:tx>
      <c:layout>
        <c:manualLayout>
          <c:xMode val="edge"/>
          <c:yMode val="edge"/>
          <c:x val="0.17845962728185547"/>
          <c:y val="3.179336123847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074662100468308"/>
          <c:y val="0.11179461993087964"/>
          <c:w val="0.8390631866365833"/>
          <c:h val="0.676853194596794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'Linux 16'!$J$15</c:f>
              <c:strCache>
                <c:ptCount val="1"/>
                <c:pt idx="0">
                  <c:v>FORK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'Linux 16'!$I$16:$I$20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16'!$J$16:$J$20</c:f>
              <c:numCache>
                <c:formatCode>#,##0\ "ms"</c:formatCode>
                <c:ptCount val="5"/>
                <c:pt idx="0">
                  <c:v>17842644.466666665</c:v>
                </c:pt>
                <c:pt idx="1">
                  <c:v>9457510.0666666664</c:v>
                </c:pt>
                <c:pt idx="2">
                  <c:v>6161716.833333333</c:v>
                </c:pt>
                <c:pt idx="3">
                  <c:v>4556697.2666666666</c:v>
                </c:pt>
                <c:pt idx="4">
                  <c:v>4475665.5333333332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3-4552-868B-D28C2CE014DE}"/>
            </c:ext>
          </c:extLst>
        </c:ser>
        <c:ser>
          <c:idx val="1"/>
          <c:order val="1"/>
          <c:tx>
            <c:strRef>
              <c:f>'Linux 16'!$K$15</c:f>
              <c:strCache>
                <c:ptCount val="1"/>
                <c:pt idx="0">
                  <c:v>OPENMP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'Linux 16'!$I$16:$I$20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16'!$K$16:$K$20</c:f>
              <c:numCache>
                <c:formatCode>#,##0\ "ms"</c:formatCode>
                <c:ptCount val="5"/>
                <c:pt idx="0">
                  <c:v>21492527.866666667</c:v>
                </c:pt>
                <c:pt idx="1">
                  <c:v>11311298.766666668</c:v>
                </c:pt>
                <c:pt idx="2">
                  <c:v>6688440.5666666664</c:v>
                </c:pt>
                <c:pt idx="3">
                  <c:v>4957719</c:v>
                </c:pt>
                <c:pt idx="4">
                  <c:v>4913438.4000000004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73-4552-868B-D28C2CE014DE}"/>
            </c:ext>
          </c:extLst>
        </c:ser>
        <c:ser>
          <c:idx val="2"/>
          <c:order val="2"/>
          <c:tx>
            <c:strRef>
              <c:f>'Linux 16'!$L$15</c:f>
              <c:strCache>
                <c:ptCount val="1"/>
                <c:pt idx="0">
                  <c:v>POSIX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'Linux 16'!$I$16:$I$20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16'!$L$16:$L$20</c:f>
              <c:numCache>
                <c:formatCode>#,##0\ "ms"</c:formatCode>
                <c:ptCount val="5"/>
                <c:pt idx="0">
                  <c:v>18041016.433333334</c:v>
                </c:pt>
                <c:pt idx="1">
                  <c:v>9663883.4333333336</c:v>
                </c:pt>
                <c:pt idx="2">
                  <c:v>6308605.166666667</c:v>
                </c:pt>
                <c:pt idx="3">
                  <c:v>4580479.166666667</c:v>
                </c:pt>
                <c:pt idx="4">
                  <c:v>4524992.333333333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73-4552-868B-D28C2CE014DE}"/>
            </c:ext>
          </c:extLst>
        </c:ser>
        <c:ser>
          <c:idx val="3"/>
          <c:order val="3"/>
          <c:tx>
            <c:strRef>
              <c:f>'Linux 16'!$M$15</c:f>
              <c:strCache>
                <c:ptCount val="1"/>
                <c:pt idx="0">
                  <c:v>FilasOpenMP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'Linux 16'!$I$16:$I$20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'Linux 16'!$M$16:$M$20</c:f>
              <c:numCache>
                <c:formatCode>#,##0\ "ms"</c:formatCode>
                <c:ptCount val="5"/>
                <c:pt idx="0">
                  <c:v>10112468.333333334</c:v>
                </c:pt>
                <c:pt idx="1">
                  <c:v>27653763.366666667</c:v>
                </c:pt>
                <c:pt idx="2">
                  <c:v>49592684.733333334</c:v>
                </c:pt>
                <c:pt idx="3">
                  <c:v>64263107.5</c:v>
                </c:pt>
                <c:pt idx="4">
                  <c:v>60207047.600000001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73-4552-868B-D28C2CE01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415151"/>
        <c:axId val="1263418511"/>
      </c:scatterChart>
      <c:valAx>
        <c:axId val="126341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8511"/>
        <c:crosses val="autoZero"/>
        <c:crossBetween val="midCat"/>
      </c:valAx>
      <c:valAx>
        <c:axId val="12634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s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41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907677</xdr:colOff>
      <xdr:row>28</xdr:row>
      <xdr:rowOff>180975</xdr:rowOff>
    </xdr:from>
    <xdr:to>
      <xdr:col>6</xdr:col>
      <xdr:colOff>57150</xdr:colOff>
      <xdr:row>46</xdr:row>
      <xdr:rowOff>179294</xdr:rowOff>
    </xdr:to>
    <xdr:graphicFrame macro="">
      <xdr:nvGraphicFramePr>
        <xdr:cNvPr id="38" name="Gráfico 29">
          <a:extLst>
            <a:ext uri="{FF2B5EF4-FFF2-40B4-BE49-F238E27FC236}">
              <a16:creationId xmlns:a16="http://schemas.microsoft.com/office/drawing/2014/main" id="{C05713B8-F09C-9037-EF99-87B640622B24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587575</xdr:colOff>
      <xdr:row>25</xdr:row>
      <xdr:rowOff>135482</xdr:rowOff>
    </xdr:from>
    <xdr:to>
      <xdr:col>10</xdr:col>
      <xdr:colOff>54428</xdr:colOff>
      <xdr:row>28</xdr:row>
      <xdr:rowOff>108857</xdr:rowOff>
    </xdr:to>
    <xdr:sp macro="" textlink="">
      <xdr:nvSpPr>
        <xdr:cNvPr id="39" name="CuadroTexto 1">
          <a:extLst>
            <a:ext uri="{FF2B5EF4-FFF2-40B4-BE49-F238E27FC236}">
              <a16:creationId xmlns:a16="http://schemas.microsoft.com/office/drawing/2014/main" id="{F19DE7EA-93B8-237F-D722-F9408BA2891E}"/>
            </a:ext>
            <a:ext uri="{147F2762-F138-4A5C-976F-8EAC2B608ADB}">
              <a16:predDERef xmlns:a16="http://schemas.microsoft.com/office/drawing/2014/main" pred="{C05713B8-F09C-9037-EF99-87B640622B24}"/>
            </a:ext>
          </a:extLst>
        </xdr:cNvPr>
        <xdr:cNvSpPr txBox="1"/>
      </xdr:nvSpPr>
      <xdr:spPr>
        <a:xfrm>
          <a:off x="12289718" y="6816589"/>
          <a:ext cx="1562353" cy="54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/>
            <a:t>FORK</a:t>
          </a:r>
        </a:p>
      </xdr:txBody>
    </xdr:sp>
    <xdr:clientData/>
  </xdr:twoCellAnchor>
  <xdr:twoCellAnchor>
    <xdr:from>
      <xdr:col>6</xdr:col>
      <xdr:colOff>51859</xdr:colOff>
      <xdr:row>28</xdr:row>
      <xdr:rowOff>178858</xdr:rowOff>
    </xdr:from>
    <xdr:to>
      <xdr:col>11</xdr:col>
      <xdr:colOff>583518</xdr:colOff>
      <xdr:row>46</xdr:row>
      <xdr:rowOff>186703</xdr:rowOff>
    </xdr:to>
    <xdr:graphicFrame macro="">
      <xdr:nvGraphicFramePr>
        <xdr:cNvPr id="52" name="Gráfico 29">
          <a:extLst>
            <a:ext uri="{FF2B5EF4-FFF2-40B4-BE49-F238E27FC236}">
              <a16:creationId xmlns:a16="http://schemas.microsoft.com/office/drawing/2014/main" id="{51F61558-A9DE-4733-8DF7-37F7283C72AA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1905000</xdr:colOff>
      <xdr:row>47</xdr:row>
      <xdr:rowOff>53219</xdr:rowOff>
    </xdr:from>
    <xdr:to>
      <xdr:col>9</xdr:col>
      <xdr:colOff>1033309</xdr:colOff>
      <xdr:row>67</xdr:row>
      <xdr:rowOff>38100</xdr:rowOff>
    </xdr:to>
    <xdr:graphicFrame macro="">
      <xdr:nvGraphicFramePr>
        <xdr:cNvPr id="54" name="Gráfico 29">
          <a:extLst>
            <a:ext uri="{FF2B5EF4-FFF2-40B4-BE49-F238E27FC236}">
              <a16:creationId xmlns:a16="http://schemas.microsoft.com/office/drawing/2014/main" id="{8BA8E604-5744-4A44-9850-2A7D525D3D6A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598714</xdr:colOff>
      <xdr:row>28</xdr:row>
      <xdr:rowOff>163286</xdr:rowOff>
    </xdr:from>
    <xdr:to>
      <xdr:col>16</xdr:col>
      <xdr:colOff>970111</xdr:colOff>
      <xdr:row>46</xdr:row>
      <xdr:rowOff>171131</xdr:rowOff>
    </xdr:to>
    <xdr:graphicFrame macro="">
      <xdr:nvGraphicFramePr>
        <xdr:cNvPr id="56" name="Gráfico 29">
          <a:extLst>
            <a:ext uri="{FF2B5EF4-FFF2-40B4-BE49-F238E27FC236}">
              <a16:creationId xmlns:a16="http://schemas.microsoft.com/office/drawing/2014/main" id="{3F01EBB8-131E-4DD5-A255-8CD3D9956376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1034143</xdr:colOff>
      <xdr:row>47</xdr:row>
      <xdr:rowOff>54429</xdr:rowOff>
    </xdr:from>
    <xdr:to>
      <xdr:col>13</xdr:col>
      <xdr:colOff>725183</xdr:colOff>
      <xdr:row>67</xdr:row>
      <xdr:rowOff>48667</xdr:rowOff>
    </xdr:to>
    <xdr:graphicFrame macro="">
      <xdr:nvGraphicFramePr>
        <xdr:cNvPr id="58" name="Gráfico 29">
          <a:extLst>
            <a:ext uri="{FF2B5EF4-FFF2-40B4-BE49-F238E27FC236}">
              <a16:creationId xmlns:a16="http://schemas.microsoft.com/office/drawing/2014/main" id="{8C16DB5E-8CEF-4C5B-8B0D-06460A4B1DB1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894196</xdr:colOff>
      <xdr:row>23</xdr:row>
      <xdr:rowOff>111707</xdr:rowOff>
    </xdr:from>
    <xdr:to>
      <xdr:col>9</xdr:col>
      <xdr:colOff>1296702</xdr:colOff>
      <xdr:row>25</xdr:row>
      <xdr:rowOff>125511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2327CE1-D984-4D1E-9BDD-EB2327256CAE}"/>
            </a:ext>
          </a:extLst>
        </xdr:cNvPr>
        <xdr:cNvSpPr txBox="1"/>
      </xdr:nvSpPr>
      <xdr:spPr>
        <a:xfrm>
          <a:off x="11760216" y="6390687"/>
          <a:ext cx="1317407" cy="389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400"/>
            <a:t>OPENMP</a:t>
          </a:r>
          <a:endParaRPr lang="es-CO" sz="2000"/>
        </a:p>
      </xdr:txBody>
    </xdr:sp>
    <xdr:clientData/>
  </xdr:twoCellAnchor>
  <xdr:twoCellAnchor>
    <xdr:from>
      <xdr:col>1</xdr:col>
      <xdr:colOff>288256</xdr:colOff>
      <xdr:row>26</xdr:row>
      <xdr:rowOff>0</xdr:rowOff>
    </xdr:from>
    <xdr:to>
      <xdr:col>5</xdr:col>
      <xdr:colOff>488783</xdr:colOff>
      <xdr:row>45</xdr:row>
      <xdr:rowOff>100264</xdr:rowOff>
    </xdr:to>
    <xdr:graphicFrame macro="">
      <xdr:nvGraphicFramePr>
        <xdr:cNvPr id="4" name="Gráfico 29">
          <a:extLst>
            <a:ext uri="{FF2B5EF4-FFF2-40B4-BE49-F238E27FC236}">
              <a16:creationId xmlns:a16="http://schemas.microsoft.com/office/drawing/2014/main" id="{8BF83677-D04E-474E-B527-9C1344160D31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513850</xdr:colOff>
      <xdr:row>25</xdr:row>
      <xdr:rowOff>175461</xdr:rowOff>
    </xdr:from>
    <xdr:to>
      <xdr:col>11</xdr:col>
      <xdr:colOff>12533</xdr:colOff>
      <xdr:row>45</xdr:row>
      <xdr:rowOff>87731</xdr:rowOff>
    </xdr:to>
    <xdr:graphicFrame macro="">
      <xdr:nvGraphicFramePr>
        <xdr:cNvPr id="6" name="Gráfico 29">
          <a:extLst>
            <a:ext uri="{FF2B5EF4-FFF2-40B4-BE49-F238E27FC236}">
              <a16:creationId xmlns:a16="http://schemas.microsoft.com/office/drawing/2014/main" id="{4B986C64-0E67-4FFC-A560-F36D7B508700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25065</xdr:colOff>
      <xdr:row>26</xdr:row>
      <xdr:rowOff>12532</xdr:rowOff>
    </xdr:from>
    <xdr:to>
      <xdr:col>16</xdr:col>
      <xdr:colOff>827170</xdr:colOff>
      <xdr:row>45</xdr:row>
      <xdr:rowOff>75197</xdr:rowOff>
    </xdr:to>
    <xdr:graphicFrame macro="">
      <xdr:nvGraphicFramePr>
        <xdr:cNvPr id="7" name="Gráfico 29">
          <a:extLst>
            <a:ext uri="{FF2B5EF4-FFF2-40B4-BE49-F238E27FC236}">
              <a16:creationId xmlns:a16="http://schemas.microsoft.com/office/drawing/2014/main" id="{1BB1A970-F74A-4AC4-A96D-3CF309403F4B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37599</xdr:colOff>
      <xdr:row>45</xdr:row>
      <xdr:rowOff>100263</xdr:rowOff>
    </xdr:from>
    <xdr:to>
      <xdr:col>8</xdr:col>
      <xdr:colOff>87730</xdr:colOff>
      <xdr:row>65</xdr:row>
      <xdr:rowOff>175459</xdr:rowOff>
    </xdr:to>
    <xdr:graphicFrame macro="">
      <xdr:nvGraphicFramePr>
        <xdr:cNvPr id="8" name="Gráfico 29">
          <a:extLst>
            <a:ext uri="{FF2B5EF4-FFF2-40B4-BE49-F238E27FC236}">
              <a16:creationId xmlns:a16="http://schemas.microsoft.com/office/drawing/2014/main" id="{0C445A6B-15BD-4EE9-BA3C-311A285B8515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87731</xdr:colOff>
      <xdr:row>45</xdr:row>
      <xdr:rowOff>87731</xdr:rowOff>
    </xdr:from>
    <xdr:to>
      <xdr:col>12</xdr:col>
      <xdr:colOff>965033</xdr:colOff>
      <xdr:row>66</xdr:row>
      <xdr:rowOff>12533</xdr:rowOff>
    </xdr:to>
    <xdr:graphicFrame macro="">
      <xdr:nvGraphicFramePr>
        <xdr:cNvPr id="9" name="Gráfico 29">
          <a:extLst>
            <a:ext uri="{FF2B5EF4-FFF2-40B4-BE49-F238E27FC236}">
              <a16:creationId xmlns:a16="http://schemas.microsoft.com/office/drawing/2014/main" id="{FDF7C4C2-9413-4430-82F2-8D3B9DCDEBAC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1295529</xdr:colOff>
      <xdr:row>24</xdr:row>
      <xdr:rowOff>104032</xdr:rowOff>
    </xdr:from>
    <xdr:to>
      <xdr:col>10</xdr:col>
      <xdr:colOff>147419</xdr:colOff>
      <xdr:row>26</xdr:row>
      <xdr:rowOff>124428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847C0CE-6D17-49AC-A4D8-EB7064A7F7AD}"/>
            </a:ext>
          </a:extLst>
        </xdr:cNvPr>
        <xdr:cNvSpPr txBox="1"/>
      </xdr:nvSpPr>
      <xdr:spPr>
        <a:xfrm>
          <a:off x="13076450" y="6997124"/>
          <a:ext cx="944883" cy="396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000"/>
            <a:t>POSIX</a:t>
          </a:r>
        </a:p>
      </xdr:txBody>
    </xdr:sp>
    <xdr:clientData/>
  </xdr:twoCellAnchor>
  <xdr:twoCellAnchor>
    <xdr:from>
      <xdr:col>1</xdr:col>
      <xdr:colOff>413585</xdr:colOff>
      <xdr:row>26</xdr:row>
      <xdr:rowOff>150395</xdr:rowOff>
    </xdr:from>
    <xdr:to>
      <xdr:col>5</xdr:col>
      <xdr:colOff>613819</xdr:colOff>
      <xdr:row>46</xdr:row>
      <xdr:rowOff>12533</xdr:rowOff>
    </xdr:to>
    <xdr:graphicFrame macro="">
      <xdr:nvGraphicFramePr>
        <xdr:cNvPr id="3" name="Gráfico 29">
          <a:extLst>
            <a:ext uri="{FF2B5EF4-FFF2-40B4-BE49-F238E27FC236}">
              <a16:creationId xmlns:a16="http://schemas.microsoft.com/office/drawing/2014/main" id="{5205236B-C174-47CF-91B6-FF5D851FAD9C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651710</xdr:colOff>
      <xdr:row>26</xdr:row>
      <xdr:rowOff>150394</xdr:rowOff>
    </xdr:from>
    <xdr:to>
      <xdr:col>10</xdr:col>
      <xdr:colOff>1591676</xdr:colOff>
      <xdr:row>45</xdr:row>
      <xdr:rowOff>175459</xdr:rowOff>
    </xdr:to>
    <xdr:graphicFrame macro="">
      <xdr:nvGraphicFramePr>
        <xdr:cNvPr id="5" name="Gráfico 29">
          <a:extLst>
            <a:ext uri="{FF2B5EF4-FFF2-40B4-BE49-F238E27FC236}">
              <a16:creationId xmlns:a16="http://schemas.microsoft.com/office/drawing/2014/main" id="{6DCDDB18-B5AE-4326-921E-1D84151D8110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1616744</xdr:colOff>
      <xdr:row>26</xdr:row>
      <xdr:rowOff>100263</xdr:rowOff>
    </xdr:from>
    <xdr:to>
      <xdr:col>16</xdr:col>
      <xdr:colOff>438651</xdr:colOff>
      <xdr:row>45</xdr:row>
      <xdr:rowOff>162927</xdr:rowOff>
    </xdr:to>
    <xdr:graphicFrame macro="">
      <xdr:nvGraphicFramePr>
        <xdr:cNvPr id="6" name="Gráfico 29">
          <a:extLst>
            <a:ext uri="{FF2B5EF4-FFF2-40B4-BE49-F238E27FC236}">
              <a16:creationId xmlns:a16="http://schemas.microsoft.com/office/drawing/2014/main" id="{50834B61-866F-4571-AC98-6DAD2DE0C7AC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802105</xdr:colOff>
      <xdr:row>46</xdr:row>
      <xdr:rowOff>37599</xdr:rowOff>
    </xdr:from>
    <xdr:to>
      <xdr:col>8</xdr:col>
      <xdr:colOff>737446</xdr:colOff>
      <xdr:row>66</xdr:row>
      <xdr:rowOff>74408</xdr:rowOff>
    </xdr:to>
    <xdr:graphicFrame macro="">
      <xdr:nvGraphicFramePr>
        <xdr:cNvPr id="7" name="Gráfico 29">
          <a:extLst>
            <a:ext uri="{FF2B5EF4-FFF2-40B4-BE49-F238E27FC236}">
              <a16:creationId xmlns:a16="http://schemas.microsoft.com/office/drawing/2014/main" id="{4998E135-4553-418E-8CEB-928B587BA855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889835</xdr:colOff>
      <xdr:row>46</xdr:row>
      <xdr:rowOff>12534</xdr:rowOff>
    </xdr:from>
    <xdr:to>
      <xdr:col>13</xdr:col>
      <xdr:colOff>137860</xdr:colOff>
      <xdr:row>66</xdr:row>
      <xdr:rowOff>125329</xdr:rowOff>
    </xdr:to>
    <xdr:graphicFrame macro="">
      <xdr:nvGraphicFramePr>
        <xdr:cNvPr id="8" name="Gráfico 29">
          <a:extLst>
            <a:ext uri="{FF2B5EF4-FFF2-40B4-BE49-F238E27FC236}">
              <a16:creationId xmlns:a16="http://schemas.microsoft.com/office/drawing/2014/main" id="{A86F372F-2AD2-47C7-8B51-6F3F24783157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493424</xdr:colOff>
      <xdr:row>22</xdr:row>
      <xdr:rowOff>141631</xdr:rowOff>
    </xdr:from>
    <xdr:to>
      <xdr:col>10</xdr:col>
      <xdr:colOff>676775</xdr:colOff>
      <xdr:row>26</xdr:row>
      <xdr:rowOff>37598</xdr:rowOff>
    </xdr:to>
    <xdr:sp macro="" textlink="">
      <xdr:nvSpPr>
        <xdr:cNvPr id="6" name="CuadroTexto 1">
          <a:extLst>
            <a:ext uri="{FF2B5EF4-FFF2-40B4-BE49-F238E27FC236}">
              <a16:creationId xmlns:a16="http://schemas.microsoft.com/office/drawing/2014/main" id="{5E4A04C2-3E31-4117-92A4-7D8DAD1E4ABC}"/>
            </a:ext>
            <a:ext uri="{147F2762-F138-4A5C-976F-8EAC2B608ADB}">
              <a16:predDERef xmlns:a16="http://schemas.microsoft.com/office/drawing/2014/main" pred="{6C805128-7C64-49C4-8A9F-6C9AE8B887D6}"/>
            </a:ext>
          </a:extLst>
        </xdr:cNvPr>
        <xdr:cNvSpPr txBox="1"/>
      </xdr:nvSpPr>
      <xdr:spPr>
        <a:xfrm>
          <a:off x="9855496" y="6295282"/>
          <a:ext cx="4695193" cy="647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/>
            <a:t>FilasOpenMP</a:t>
          </a:r>
        </a:p>
      </xdr:txBody>
    </xdr:sp>
    <xdr:clientData/>
  </xdr:twoCellAnchor>
  <xdr:twoCellAnchor>
    <xdr:from>
      <xdr:col>1</xdr:col>
      <xdr:colOff>839705</xdr:colOff>
      <xdr:row>26</xdr:row>
      <xdr:rowOff>12531</xdr:rowOff>
    </xdr:from>
    <xdr:to>
      <xdr:col>5</xdr:col>
      <xdr:colOff>1039939</xdr:colOff>
      <xdr:row>45</xdr:row>
      <xdr:rowOff>62662</xdr:rowOff>
    </xdr:to>
    <xdr:graphicFrame macro="">
      <xdr:nvGraphicFramePr>
        <xdr:cNvPr id="19" name="Gráfico 29">
          <a:extLst>
            <a:ext uri="{FF2B5EF4-FFF2-40B4-BE49-F238E27FC236}">
              <a16:creationId xmlns:a16="http://schemas.microsoft.com/office/drawing/2014/main" id="{DBBD950A-58F7-4E70-A193-9FAF72D2AA1E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1052763</xdr:colOff>
      <xdr:row>26</xdr:row>
      <xdr:rowOff>12533</xdr:rowOff>
    </xdr:from>
    <xdr:to>
      <xdr:col>11</xdr:col>
      <xdr:colOff>363452</xdr:colOff>
      <xdr:row>45</xdr:row>
      <xdr:rowOff>37598</xdr:rowOff>
    </xdr:to>
    <xdr:graphicFrame macro="">
      <xdr:nvGraphicFramePr>
        <xdr:cNvPr id="20" name="Gráfico 29">
          <a:extLst>
            <a:ext uri="{FF2B5EF4-FFF2-40B4-BE49-F238E27FC236}">
              <a16:creationId xmlns:a16="http://schemas.microsoft.com/office/drawing/2014/main" id="{02B5192B-11F6-4F99-A844-2B6442DC15F5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363454</xdr:colOff>
      <xdr:row>25</xdr:row>
      <xdr:rowOff>187992</xdr:rowOff>
    </xdr:from>
    <xdr:to>
      <xdr:col>16</xdr:col>
      <xdr:colOff>927434</xdr:colOff>
      <xdr:row>45</xdr:row>
      <xdr:rowOff>62663</xdr:rowOff>
    </xdr:to>
    <xdr:graphicFrame macro="">
      <xdr:nvGraphicFramePr>
        <xdr:cNvPr id="21" name="Gráfico 29">
          <a:extLst>
            <a:ext uri="{FF2B5EF4-FFF2-40B4-BE49-F238E27FC236}">
              <a16:creationId xmlns:a16="http://schemas.microsoft.com/office/drawing/2014/main" id="{B5A08F13-04DA-45B7-A64E-69BCDCD69F3B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2243388</xdr:colOff>
      <xdr:row>45</xdr:row>
      <xdr:rowOff>25065</xdr:rowOff>
    </xdr:from>
    <xdr:to>
      <xdr:col>7</xdr:col>
      <xdr:colOff>125329</xdr:colOff>
      <xdr:row>65</xdr:row>
      <xdr:rowOff>175460</xdr:rowOff>
    </xdr:to>
    <xdr:graphicFrame macro="">
      <xdr:nvGraphicFramePr>
        <xdr:cNvPr id="22" name="Gráfico 29">
          <a:extLst>
            <a:ext uri="{FF2B5EF4-FFF2-40B4-BE49-F238E27FC236}">
              <a16:creationId xmlns:a16="http://schemas.microsoft.com/office/drawing/2014/main" id="{E13B6EC8-5285-407B-ABE7-4C4B2655EAF9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137862</xdr:colOff>
      <xdr:row>45</xdr:row>
      <xdr:rowOff>25065</xdr:rowOff>
    </xdr:from>
    <xdr:to>
      <xdr:col>12</xdr:col>
      <xdr:colOff>864770</xdr:colOff>
      <xdr:row>65</xdr:row>
      <xdr:rowOff>175461</xdr:rowOff>
    </xdr:to>
    <xdr:graphicFrame macro="">
      <xdr:nvGraphicFramePr>
        <xdr:cNvPr id="23" name="Gráfico 29">
          <a:extLst>
            <a:ext uri="{FF2B5EF4-FFF2-40B4-BE49-F238E27FC236}">
              <a16:creationId xmlns:a16="http://schemas.microsoft.com/office/drawing/2014/main" id="{2CDBE58F-D6CA-4BE9-865B-5A4BA0D5A48C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1605642</xdr:colOff>
      <xdr:row>24</xdr:row>
      <xdr:rowOff>-1</xdr:rowOff>
    </xdr:from>
    <xdr:to>
      <xdr:col>7</xdr:col>
      <xdr:colOff>272142</xdr:colOff>
      <xdr:row>42</xdr:row>
      <xdr:rowOff>149677</xdr:rowOff>
    </xdr:to>
    <xdr:graphicFrame macro="">
      <xdr:nvGraphicFramePr>
        <xdr:cNvPr id="12" name="Gráfico 29">
          <a:extLst>
            <a:ext uri="{FF2B5EF4-FFF2-40B4-BE49-F238E27FC236}">
              <a16:creationId xmlns:a16="http://schemas.microsoft.com/office/drawing/2014/main" id="{3A49A202-6D61-40F0-BD67-D75D02D9753F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252133</xdr:colOff>
      <xdr:row>24</xdr:row>
      <xdr:rowOff>0</xdr:rowOff>
    </xdr:from>
    <xdr:to>
      <xdr:col>11</xdr:col>
      <xdr:colOff>1015900</xdr:colOff>
      <xdr:row>42</xdr:row>
      <xdr:rowOff>80357</xdr:rowOff>
    </xdr:to>
    <xdr:graphicFrame macro="">
      <xdr:nvGraphicFramePr>
        <xdr:cNvPr id="13" name="Gráfico 29">
          <a:extLst>
            <a:ext uri="{FF2B5EF4-FFF2-40B4-BE49-F238E27FC236}">
              <a16:creationId xmlns:a16="http://schemas.microsoft.com/office/drawing/2014/main" id="{89353098-53B7-418E-AFB0-013EA3A2ECE8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993321</xdr:colOff>
      <xdr:row>24</xdr:row>
      <xdr:rowOff>0</xdr:rowOff>
    </xdr:from>
    <xdr:to>
      <xdr:col>16</xdr:col>
      <xdr:colOff>1330699</xdr:colOff>
      <xdr:row>42</xdr:row>
      <xdr:rowOff>95250</xdr:rowOff>
    </xdr:to>
    <xdr:graphicFrame macro="">
      <xdr:nvGraphicFramePr>
        <xdr:cNvPr id="14" name="Gráfico 29">
          <a:extLst>
            <a:ext uri="{FF2B5EF4-FFF2-40B4-BE49-F238E27FC236}">
              <a16:creationId xmlns:a16="http://schemas.microsoft.com/office/drawing/2014/main" id="{585CE675-6067-48E5-B0F7-65139E77F867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1156608</xdr:colOff>
      <xdr:row>42</xdr:row>
      <xdr:rowOff>81642</xdr:rowOff>
    </xdr:from>
    <xdr:to>
      <xdr:col>8</xdr:col>
      <xdr:colOff>1496786</xdr:colOff>
      <xdr:row>65</xdr:row>
      <xdr:rowOff>27214</xdr:rowOff>
    </xdr:to>
    <xdr:graphicFrame macro="">
      <xdr:nvGraphicFramePr>
        <xdr:cNvPr id="17" name="Gráfico 29">
          <a:extLst>
            <a:ext uri="{FF2B5EF4-FFF2-40B4-BE49-F238E27FC236}">
              <a16:creationId xmlns:a16="http://schemas.microsoft.com/office/drawing/2014/main" id="{2338C1F8-5637-4321-9B10-A8B72515E1EB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1496785</xdr:colOff>
      <xdr:row>42</xdr:row>
      <xdr:rowOff>95249</xdr:rowOff>
    </xdr:from>
    <xdr:to>
      <xdr:col>13</xdr:col>
      <xdr:colOff>1374322</xdr:colOff>
      <xdr:row>65</xdr:row>
      <xdr:rowOff>81642</xdr:rowOff>
    </xdr:to>
    <xdr:graphicFrame macro="">
      <xdr:nvGraphicFramePr>
        <xdr:cNvPr id="18" name="Gráfico 29">
          <a:extLst>
            <a:ext uri="{FF2B5EF4-FFF2-40B4-BE49-F238E27FC236}">
              <a16:creationId xmlns:a16="http://schemas.microsoft.com/office/drawing/2014/main" id="{E953DFDF-D22B-4EB6-9616-6F1FF698E326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7</xdr:col>
      <xdr:colOff>1238250</xdr:colOff>
      <xdr:row>21</xdr:row>
      <xdr:rowOff>108857</xdr:rowOff>
    </xdr:from>
    <xdr:ext cx="4954754" cy="593304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BF806ED1-6ACB-9AE2-BAEE-0AAA1C1DB808}"/>
            </a:ext>
          </a:extLst>
        </xdr:cNvPr>
        <xdr:cNvSpPr txBox="1"/>
      </xdr:nvSpPr>
      <xdr:spPr>
        <a:xfrm>
          <a:off x="10858500" y="5034643"/>
          <a:ext cx="495475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3200"/>
            <a:t>VM Javeriana Ubuntu 4 hilos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23</xdr:row>
      <xdr:rowOff>0</xdr:rowOff>
    </xdr:from>
    <xdr:to>
      <xdr:col>6</xdr:col>
      <xdr:colOff>1311828</xdr:colOff>
      <xdr:row>41</xdr:row>
      <xdr:rowOff>21779</xdr:rowOff>
    </xdr:to>
    <xdr:graphicFrame macro="">
      <xdr:nvGraphicFramePr>
        <xdr:cNvPr id="10" name="Gráfico 29">
          <a:extLst>
            <a:ext uri="{FF2B5EF4-FFF2-40B4-BE49-F238E27FC236}">
              <a16:creationId xmlns:a16="http://schemas.microsoft.com/office/drawing/2014/main" id="{67F9A99D-DB66-491D-A0C8-B76C5A016EF3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11</xdr:col>
      <xdr:colOff>780576</xdr:colOff>
      <xdr:row>40</xdr:row>
      <xdr:rowOff>192816</xdr:rowOff>
    </xdr:to>
    <xdr:graphicFrame macro="">
      <xdr:nvGraphicFramePr>
        <xdr:cNvPr id="11" name="Gráfico 29">
          <a:extLst>
            <a:ext uri="{FF2B5EF4-FFF2-40B4-BE49-F238E27FC236}">
              <a16:creationId xmlns:a16="http://schemas.microsoft.com/office/drawing/2014/main" id="{5B71C4B7-0BE7-4A7B-B725-30FDD68C1FC8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798418</xdr:colOff>
      <xdr:row>22</xdr:row>
      <xdr:rowOff>182096</xdr:rowOff>
    </xdr:from>
    <xdr:to>
      <xdr:col>17</xdr:col>
      <xdr:colOff>241726</xdr:colOff>
      <xdr:row>41</xdr:row>
      <xdr:rowOff>20305</xdr:rowOff>
    </xdr:to>
    <xdr:graphicFrame macro="">
      <xdr:nvGraphicFramePr>
        <xdr:cNvPr id="12" name="Gráfico 29">
          <a:extLst>
            <a:ext uri="{FF2B5EF4-FFF2-40B4-BE49-F238E27FC236}">
              <a16:creationId xmlns:a16="http://schemas.microsoft.com/office/drawing/2014/main" id="{C2053C5E-D371-442F-B30E-A3B8C86D3F99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28015</xdr:colOff>
      <xdr:row>41</xdr:row>
      <xdr:rowOff>0</xdr:rowOff>
    </xdr:from>
    <xdr:to>
      <xdr:col>8</xdr:col>
      <xdr:colOff>444232</xdr:colOff>
      <xdr:row>62</xdr:row>
      <xdr:rowOff>168088</xdr:rowOff>
    </xdr:to>
    <xdr:graphicFrame macro="">
      <xdr:nvGraphicFramePr>
        <xdr:cNvPr id="13" name="Gráfico 29">
          <a:extLst>
            <a:ext uri="{FF2B5EF4-FFF2-40B4-BE49-F238E27FC236}">
              <a16:creationId xmlns:a16="http://schemas.microsoft.com/office/drawing/2014/main" id="{59DA9725-6E08-4EEB-B12A-BAADEFB6D438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420220</xdr:colOff>
      <xdr:row>41</xdr:row>
      <xdr:rowOff>14008</xdr:rowOff>
    </xdr:from>
    <xdr:to>
      <xdr:col>13</xdr:col>
      <xdr:colOff>330174</xdr:colOff>
      <xdr:row>62</xdr:row>
      <xdr:rowOff>179695</xdr:rowOff>
    </xdr:to>
    <xdr:graphicFrame macro="">
      <xdr:nvGraphicFramePr>
        <xdr:cNvPr id="14" name="Gráfico 29">
          <a:extLst>
            <a:ext uri="{FF2B5EF4-FFF2-40B4-BE49-F238E27FC236}">
              <a16:creationId xmlns:a16="http://schemas.microsoft.com/office/drawing/2014/main" id="{6682C964-3B90-4456-8E4E-19BEA3042701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8</xdr:col>
      <xdr:colOff>1036545</xdr:colOff>
      <xdr:row>20</xdr:row>
      <xdr:rowOff>154080</xdr:rowOff>
    </xdr:from>
    <xdr:ext cx="2327625" cy="593304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BBDC662-80F0-4791-95A1-00552B27C262}"/>
            </a:ext>
          </a:extLst>
        </xdr:cNvPr>
        <xdr:cNvSpPr txBox="1"/>
      </xdr:nvSpPr>
      <xdr:spPr>
        <a:xfrm>
          <a:off x="12228420" y="4790514"/>
          <a:ext cx="2327625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3200"/>
            <a:t>Replit 8 hilos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1554816</xdr:colOff>
      <xdr:row>23</xdr:row>
      <xdr:rowOff>0</xdr:rowOff>
    </xdr:from>
    <xdr:to>
      <xdr:col>7</xdr:col>
      <xdr:colOff>1367858</xdr:colOff>
      <xdr:row>41</xdr:row>
      <xdr:rowOff>21779</xdr:rowOff>
    </xdr:to>
    <xdr:graphicFrame macro="">
      <xdr:nvGraphicFramePr>
        <xdr:cNvPr id="11" name="Gráfico 29">
          <a:extLst>
            <a:ext uri="{FF2B5EF4-FFF2-40B4-BE49-F238E27FC236}">
              <a16:creationId xmlns:a16="http://schemas.microsoft.com/office/drawing/2014/main" id="{9AEAD4BC-D269-4DFC-8739-37B94C2C99A2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12</xdr:col>
      <xdr:colOff>1046715</xdr:colOff>
      <xdr:row>40</xdr:row>
      <xdr:rowOff>192816</xdr:rowOff>
    </xdr:to>
    <xdr:graphicFrame macro="">
      <xdr:nvGraphicFramePr>
        <xdr:cNvPr id="12" name="Gráfico 29">
          <a:extLst>
            <a:ext uri="{FF2B5EF4-FFF2-40B4-BE49-F238E27FC236}">
              <a16:creationId xmlns:a16="http://schemas.microsoft.com/office/drawing/2014/main" id="{E3C2A4A5-35C4-463D-8012-D0092FFD3F2C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1078566</xdr:colOff>
      <xdr:row>23</xdr:row>
      <xdr:rowOff>14007</xdr:rowOff>
    </xdr:from>
    <xdr:to>
      <xdr:col>17</xdr:col>
      <xdr:colOff>1026140</xdr:colOff>
      <xdr:row>41</xdr:row>
      <xdr:rowOff>48319</xdr:rowOff>
    </xdr:to>
    <xdr:graphicFrame macro="">
      <xdr:nvGraphicFramePr>
        <xdr:cNvPr id="13" name="Gráfico 29">
          <a:extLst>
            <a:ext uri="{FF2B5EF4-FFF2-40B4-BE49-F238E27FC236}">
              <a16:creationId xmlns:a16="http://schemas.microsoft.com/office/drawing/2014/main" id="{EE048D6E-BCB7-4AED-9992-4D6170BF2583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14008</xdr:colOff>
      <xdr:row>41</xdr:row>
      <xdr:rowOff>14007</xdr:rowOff>
    </xdr:from>
    <xdr:to>
      <xdr:col>9</xdr:col>
      <xdr:colOff>332174</xdr:colOff>
      <xdr:row>62</xdr:row>
      <xdr:rowOff>168088</xdr:rowOff>
    </xdr:to>
    <xdr:graphicFrame macro="">
      <xdr:nvGraphicFramePr>
        <xdr:cNvPr id="14" name="Gráfico 29">
          <a:extLst>
            <a:ext uri="{FF2B5EF4-FFF2-40B4-BE49-F238E27FC236}">
              <a16:creationId xmlns:a16="http://schemas.microsoft.com/office/drawing/2014/main" id="{6B236C28-858B-46F2-839B-2F9FE5CDBBA5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350184</xdr:colOff>
      <xdr:row>41</xdr:row>
      <xdr:rowOff>14007</xdr:rowOff>
    </xdr:from>
    <xdr:to>
      <xdr:col>14</xdr:col>
      <xdr:colOff>190101</xdr:colOff>
      <xdr:row>62</xdr:row>
      <xdr:rowOff>179694</xdr:rowOff>
    </xdr:to>
    <xdr:graphicFrame macro="">
      <xdr:nvGraphicFramePr>
        <xdr:cNvPr id="15" name="Gráfico 29">
          <a:extLst>
            <a:ext uri="{FF2B5EF4-FFF2-40B4-BE49-F238E27FC236}">
              <a16:creationId xmlns:a16="http://schemas.microsoft.com/office/drawing/2014/main" id="{9681CFFA-AF6B-4C7A-9040-25F89BAC57DA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8</xdr:col>
      <xdr:colOff>1400736</xdr:colOff>
      <xdr:row>20</xdr:row>
      <xdr:rowOff>126066</xdr:rowOff>
    </xdr:from>
    <xdr:ext cx="2442913" cy="593304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DADA7AC-FD29-44A3-A45A-04286ABBC624}"/>
            </a:ext>
          </a:extLst>
        </xdr:cNvPr>
        <xdr:cNvSpPr txBox="1"/>
      </xdr:nvSpPr>
      <xdr:spPr>
        <a:xfrm>
          <a:off x="12760699" y="4762500"/>
          <a:ext cx="2442913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3200"/>
            <a:t>Linux 12 hilos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1750919</xdr:colOff>
      <xdr:row>23</xdr:row>
      <xdr:rowOff>0</xdr:rowOff>
    </xdr:from>
    <xdr:to>
      <xdr:col>8</xdr:col>
      <xdr:colOff>499402</xdr:colOff>
      <xdr:row>42</xdr:row>
      <xdr:rowOff>0</xdr:rowOff>
    </xdr:to>
    <xdr:graphicFrame macro="">
      <xdr:nvGraphicFramePr>
        <xdr:cNvPr id="12" name="Gráfico 29">
          <a:extLst>
            <a:ext uri="{FF2B5EF4-FFF2-40B4-BE49-F238E27FC236}">
              <a16:creationId xmlns:a16="http://schemas.microsoft.com/office/drawing/2014/main" id="{8BE517B1-00EF-4DE4-A00F-FABE11D95E66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546287</xdr:colOff>
      <xdr:row>23</xdr:row>
      <xdr:rowOff>0</xdr:rowOff>
    </xdr:from>
    <xdr:to>
      <xdr:col>12</xdr:col>
      <xdr:colOff>1621016</xdr:colOff>
      <xdr:row>42</xdr:row>
      <xdr:rowOff>42022</xdr:rowOff>
    </xdr:to>
    <xdr:graphicFrame macro="">
      <xdr:nvGraphicFramePr>
        <xdr:cNvPr id="13" name="Gráfico 29">
          <a:extLst>
            <a:ext uri="{FF2B5EF4-FFF2-40B4-BE49-F238E27FC236}">
              <a16:creationId xmlns:a16="http://schemas.microsoft.com/office/drawing/2014/main" id="{0F3708FC-3193-4EA5-BEA3-DB2E51FD1250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28015</xdr:colOff>
      <xdr:row>22</xdr:row>
      <xdr:rowOff>182096</xdr:rowOff>
    </xdr:from>
    <xdr:to>
      <xdr:col>18</xdr:col>
      <xdr:colOff>984118</xdr:colOff>
      <xdr:row>42</xdr:row>
      <xdr:rowOff>28014</xdr:rowOff>
    </xdr:to>
    <xdr:graphicFrame macro="">
      <xdr:nvGraphicFramePr>
        <xdr:cNvPr id="14" name="Gráfico 29">
          <a:extLst>
            <a:ext uri="{FF2B5EF4-FFF2-40B4-BE49-F238E27FC236}">
              <a16:creationId xmlns:a16="http://schemas.microsoft.com/office/drawing/2014/main" id="{7A30179E-1E08-421D-BC82-8A5515EDA072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798419</xdr:colOff>
      <xdr:row>42</xdr:row>
      <xdr:rowOff>28015</xdr:rowOff>
    </xdr:from>
    <xdr:to>
      <xdr:col>10</xdr:col>
      <xdr:colOff>10003</xdr:colOff>
      <xdr:row>64</xdr:row>
      <xdr:rowOff>0</xdr:rowOff>
    </xdr:to>
    <xdr:graphicFrame macro="">
      <xdr:nvGraphicFramePr>
        <xdr:cNvPr id="16" name="Gráfico 29">
          <a:extLst>
            <a:ext uri="{FF2B5EF4-FFF2-40B4-BE49-F238E27FC236}">
              <a16:creationId xmlns:a16="http://schemas.microsoft.com/office/drawing/2014/main" id="{E92029EE-4C02-429B-859E-8BB70ED80B57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28015</xdr:colOff>
      <xdr:row>42</xdr:row>
      <xdr:rowOff>14007</xdr:rowOff>
    </xdr:from>
    <xdr:to>
      <xdr:col>15</xdr:col>
      <xdr:colOff>708373</xdr:colOff>
      <xdr:row>63</xdr:row>
      <xdr:rowOff>179695</xdr:rowOff>
    </xdr:to>
    <xdr:graphicFrame macro="">
      <xdr:nvGraphicFramePr>
        <xdr:cNvPr id="17" name="Gráfico 29">
          <a:extLst>
            <a:ext uri="{FF2B5EF4-FFF2-40B4-BE49-F238E27FC236}">
              <a16:creationId xmlns:a16="http://schemas.microsoft.com/office/drawing/2014/main" id="{E782E218-E6B8-4F26-BBA9-84E444EDBB6A}"/>
            </a:ext>
            <a:ext uri="{147F2762-F138-4A5C-976F-8EAC2B608ADB}">
              <a16:predDERef xmlns:a16="http://schemas.microsoft.com/office/drawing/2014/main" pred="{F19DE7EA-93B8-237F-D722-F9408BA28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9</xdr:col>
      <xdr:colOff>0</xdr:colOff>
      <xdr:row>20</xdr:row>
      <xdr:rowOff>70037</xdr:rowOff>
    </xdr:from>
    <xdr:ext cx="2442913" cy="593304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307B6333-E996-41F5-B8B0-15F01EE56EE2}"/>
            </a:ext>
          </a:extLst>
        </xdr:cNvPr>
        <xdr:cNvSpPr txBox="1"/>
      </xdr:nvSpPr>
      <xdr:spPr>
        <a:xfrm>
          <a:off x="12550588" y="4706471"/>
          <a:ext cx="2442913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3200"/>
            <a:t>Linux 16 hilos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180"/>
  <sheetViews>
    <sheetView zoomScaleNormal="100" workbookViewId="0">
      <selection activeCell="E5" sqref="E5"/>
    </sheetView>
  </sheetViews>
  <sheetFormatPr defaultColWidth="11.42578125" defaultRowHeight="15"/>
  <cols>
    <col min="1" max="1" width="11.42578125" style="7"/>
    <col min="2" max="2" width="29.5703125" style="7" customWidth="1"/>
    <col min="3" max="3" width="33.7109375" style="7" customWidth="1"/>
    <col min="4" max="4" width="26" style="7" customWidth="1"/>
    <col min="5" max="5" width="26.28515625" style="7" customWidth="1"/>
    <col min="6" max="6" width="11.42578125" style="7"/>
    <col min="7" max="7" width="32" style="7" customWidth="1"/>
    <col min="8" max="8" width="23.28515625" style="7" customWidth="1"/>
    <col min="9" max="10" width="25.85546875" style="7" bestFit="1" customWidth="1"/>
    <col min="11" max="11" width="11.42578125" style="7"/>
    <col min="12" max="12" width="30" style="7" customWidth="1"/>
    <col min="13" max="13" width="23.7109375" style="7" customWidth="1"/>
    <col min="14" max="14" width="29.5703125" style="7" customWidth="1"/>
    <col min="15" max="15" width="29.140625" style="7" customWidth="1"/>
    <col min="16" max="16" width="11.42578125" style="7"/>
    <col min="17" max="17" width="29.7109375" style="7" customWidth="1"/>
    <col min="18" max="18" width="22.42578125" style="7" bestFit="1" customWidth="1"/>
    <col min="19" max="19" width="29.28515625" style="7" customWidth="1"/>
    <col min="20" max="20" width="24" style="7" customWidth="1"/>
    <col min="21" max="21" width="11.42578125" style="7"/>
    <col min="22" max="22" width="27.85546875" style="7" customWidth="1"/>
    <col min="23" max="23" width="25.28515625" style="7" customWidth="1"/>
    <col min="24" max="24" width="28.85546875" style="7" customWidth="1"/>
    <col min="25" max="25" width="28" style="7" customWidth="1"/>
    <col min="26" max="26" width="11.42578125" style="7"/>
    <col min="27" max="27" width="36.7109375" style="7" customWidth="1"/>
    <col min="28" max="28" width="24.5703125" style="7" customWidth="1"/>
    <col min="29" max="29" width="14.28515625" style="7" customWidth="1"/>
    <col min="30" max="30" width="24.140625" style="7" customWidth="1"/>
    <col min="31" max="31" width="19.85546875" style="7" customWidth="1"/>
    <col min="32" max="16384" width="11.42578125" style="7"/>
  </cols>
  <sheetData>
    <row r="2" spans="2:31" ht="15.75" thickBot="1"/>
    <row r="3" spans="2:31" ht="24.75" customHeight="1" thickBot="1">
      <c r="B3" s="66" t="s">
        <v>0</v>
      </c>
      <c r="C3" s="67"/>
      <c r="D3" s="67"/>
      <c r="E3" s="68"/>
      <c r="G3" s="60" t="s">
        <v>0</v>
      </c>
      <c r="H3" s="61"/>
      <c r="I3" s="61"/>
      <c r="J3" s="62"/>
      <c r="L3" s="60" t="s">
        <v>0</v>
      </c>
      <c r="M3" s="61"/>
      <c r="N3" s="61"/>
      <c r="O3" s="62"/>
      <c r="Q3" s="60" t="s">
        <v>0</v>
      </c>
      <c r="R3" s="61"/>
      <c r="S3" s="61"/>
      <c r="T3" s="62"/>
      <c r="V3" s="60" t="s">
        <v>0</v>
      </c>
      <c r="W3" s="61"/>
      <c r="X3" s="61"/>
      <c r="Y3" s="62"/>
      <c r="AA3" s="20"/>
      <c r="AB3" s="20"/>
      <c r="AC3" s="20"/>
      <c r="AD3" s="20"/>
      <c r="AE3" s="20"/>
    </row>
    <row r="4" spans="2:31" ht="21.75" customHeight="1" thickBot="1">
      <c r="B4" s="63" t="s">
        <v>1</v>
      </c>
      <c r="C4" s="64"/>
      <c r="D4" s="64"/>
      <c r="E4" s="65"/>
      <c r="G4" s="59" t="s">
        <v>2</v>
      </c>
      <c r="H4" s="59"/>
      <c r="I4" s="59"/>
      <c r="J4" s="59"/>
      <c r="L4" s="59" t="s">
        <v>3</v>
      </c>
      <c r="M4" s="59"/>
      <c r="N4" s="59"/>
      <c r="O4" s="59"/>
      <c r="Q4" s="59" t="s">
        <v>4</v>
      </c>
      <c r="R4" s="59"/>
      <c r="S4" s="59"/>
      <c r="T4" s="59"/>
      <c r="V4" s="59" t="s">
        <v>5</v>
      </c>
      <c r="W4" s="59"/>
      <c r="X4" s="59"/>
      <c r="Y4" s="59"/>
      <c r="AA4" s="21"/>
      <c r="AB4" s="21"/>
      <c r="AC4" s="21"/>
      <c r="AD4" s="21"/>
      <c r="AE4" s="21"/>
    </row>
    <row r="5" spans="2:31" ht="30.75" thickBot="1">
      <c r="B5" s="28" t="s">
        <v>6</v>
      </c>
      <c r="C5" s="44" t="s">
        <v>7</v>
      </c>
      <c r="D5" s="43" t="s">
        <v>8</v>
      </c>
      <c r="E5" s="43" t="s">
        <v>9</v>
      </c>
      <c r="G5" s="28" t="s">
        <v>6</v>
      </c>
      <c r="H5" s="44" t="s">
        <v>7</v>
      </c>
      <c r="I5" s="43" t="s">
        <v>8</v>
      </c>
      <c r="J5" s="43" t="s">
        <v>9</v>
      </c>
      <c r="L5" s="28" t="s">
        <v>6</v>
      </c>
      <c r="M5" s="44" t="s">
        <v>7</v>
      </c>
      <c r="N5" s="43" t="s">
        <v>8</v>
      </c>
      <c r="O5" s="43" t="s">
        <v>9</v>
      </c>
      <c r="Q5" s="28" t="s">
        <v>6</v>
      </c>
      <c r="R5" s="44" t="s">
        <v>7</v>
      </c>
      <c r="S5" s="43" t="s">
        <v>8</v>
      </c>
      <c r="T5" s="43" t="s">
        <v>9</v>
      </c>
      <c r="V5" s="28" t="s">
        <v>6</v>
      </c>
      <c r="W5" s="44" t="s">
        <v>7</v>
      </c>
      <c r="X5" s="43" t="s">
        <v>8</v>
      </c>
      <c r="Y5" s="43" t="s">
        <v>9</v>
      </c>
    </row>
    <row r="6" spans="2:31">
      <c r="B6" s="8">
        <v>2249</v>
      </c>
      <c r="C6" s="8">
        <v>310</v>
      </c>
      <c r="D6" s="8">
        <v>451</v>
      </c>
      <c r="E6" s="8">
        <v>1440</v>
      </c>
      <c r="G6" s="8">
        <v>1115</v>
      </c>
      <c r="H6" s="9">
        <v>347</v>
      </c>
      <c r="I6" s="9">
        <v>401</v>
      </c>
      <c r="J6" s="9">
        <v>955</v>
      </c>
      <c r="L6" s="8">
        <v>865</v>
      </c>
      <c r="M6" s="9">
        <v>621</v>
      </c>
      <c r="N6" s="9">
        <v>471</v>
      </c>
      <c r="O6" s="9">
        <v>1685</v>
      </c>
      <c r="Q6" s="8">
        <v>1314</v>
      </c>
      <c r="R6" s="9">
        <v>4908</v>
      </c>
      <c r="S6" s="9">
        <v>696</v>
      </c>
      <c r="T6" s="9">
        <v>2587</v>
      </c>
      <c r="V6" s="8">
        <v>1082</v>
      </c>
      <c r="W6" s="9">
        <v>1130</v>
      </c>
      <c r="X6" s="9">
        <v>814</v>
      </c>
      <c r="Y6" s="9">
        <v>2341</v>
      </c>
    </row>
    <row r="7" spans="2:31">
      <c r="B7" s="9">
        <v>1134</v>
      </c>
      <c r="C7" s="9">
        <v>316</v>
      </c>
      <c r="D7" s="9">
        <v>428</v>
      </c>
      <c r="E7" s="9">
        <v>1145</v>
      </c>
      <c r="G7" s="9">
        <v>949</v>
      </c>
      <c r="H7" s="9">
        <v>344</v>
      </c>
      <c r="I7" s="9">
        <v>338</v>
      </c>
      <c r="J7" s="9">
        <v>1119</v>
      </c>
      <c r="L7" s="9">
        <v>1208</v>
      </c>
      <c r="M7" s="9">
        <v>771</v>
      </c>
      <c r="N7" s="9">
        <v>433</v>
      </c>
      <c r="O7" s="9">
        <v>1256</v>
      </c>
      <c r="Q7" s="9">
        <v>1261</v>
      </c>
      <c r="R7" s="9">
        <v>2956</v>
      </c>
      <c r="S7" s="9">
        <v>635</v>
      </c>
      <c r="T7" s="7">
        <v>1911</v>
      </c>
      <c r="V7" s="9">
        <v>1105</v>
      </c>
      <c r="W7" s="9">
        <v>1493</v>
      </c>
      <c r="X7" s="9">
        <v>773</v>
      </c>
      <c r="Y7" s="9">
        <v>1928</v>
      </c>
    </row>
    <row r="8" spans="2:31">
      <c r="B8" s="9">
        <v>2508</v>
      </c>
      <c r="C8" s="9">
        <v>296</v>
      </c>
      <c r="D8" s="9">
        <v>418</v>
      </c>
      <c r="E8" s="9">
        <v>2144</v>
      </c>
      <c r="G8" s="9">
        <v>637</v>
      </c>
      <c r="H8" s="9">
        <v>311</v>
      </c>
      <c r="I8" s="9">
        <v>335</v>
      </c>
      <c r="J8" s="9">
        <v>1729</v>
      </c>
      <c r="L8" s="9">
        <v>986</v>
      </c>
      <c r="M8" s="9">
        <v>1451</v>
      </c>
      <c r="N8" s="9">
        <v>426</v>
      </c>
      <c r="O8" s="9">
        <v>1749</v>
      </c>
      <c r="Q8" s="9">
        <v>1069</v>
      </c>
      <c r="R8" s="9">
        <v>2103</v>
      </c>
      <c r="S8" s="9">
        <v>627</v>
      </c>
      <c r="T8" s="9">
        <v>2279</v>
      </c>
      <c r="V8" s="9">
        <v>1317</v>
      </c>
      <c r="W8" s="9">
        <v>2027</v>
      </c>
      <c r="X8" s="9">
        <v>910</v>
      </c>
      <c r="Y8" s="9">
        <v>2089</v>
      </c>
    </row>
    <row r="9" spans="2:31">
      <c r="B9" s="9">
        <v>1414</v>
      </c>
      <c r="C9" s="9">
        <v>307</v>
      </c>
      <c r="D9" s="9">
        <v>425</v>
      </c>
      <c r="E9" s="9">
        <v>1416</v>
      </c>
      <c r="G9" s="9">
        <v>883</v>
      </c>
      <c r="H9" s="9">
        <v>312</v>
      </c>
      <c r="I9" s="9">
        <v>342</v>
      </c>
      <c r="J9" s="9">
        <v>1322</v>
      </c>
      <c r="L9" s="9">
        <v>1111</v>
      </c>
      <c r="M9" s="9">
        <v>987</v>
      </c>
      <c r="N9" s="9">
        <v>425</v>
      </c>
      <c r="O9" s="9">
        <v>2383</v>
      </c>
      <c r="Q9" s="9">
        <v>1251</v>
      </c>
      <c r="R9" s="9">
        <v>995</v>
      </c>
      <c r="S9" s="9">
        <v>715</v>
      </c>
      <c r="T9" s="9">
        <v>2242</v>
      </c>
      <c r="V9" s="9">
        <v>1181</v>
      </c>
      <c r="W9" s="9">
        <v>1170</v>
      </c>
      <c r="X9" s="9">
        <v>789</v>
      </c>
      <c r="Y9" s="9">
        <v>2797</v>
      </c>
    </row>
    <row r="10" spans="2:31">
      <c r="B10" s="9">
        <v>859</v>
      </c>
      <c r="C10" s="9">
        <v>357</v>
      </c>
      <c r="D10" s="9">
        <v>415</v>
      </c>
      <c r="E10" s="9">
        <v>1015</v>
      </c>
      <c r="G10" s="9">
        <v>998</v>
      </c>
      <c r="H10" s="9">
        <v>337</v>
      </c>
      <c r="I10" s="9">
        <v>429</v>
      </c>
      <c r="J10" s="9">
        <v>1550</v>
      </c>
      <c r="L10" s="9">
        <v>1128</v>
      </c>
      <c r="M10" s="9">
        <v>676</v>
      </c>
      <c r="N10" s="9">
        <v>467</v>
      </c>
      <c r="O10" s="9">
        <v>2076</v>
      </c>
      <c r="Q10" s="9">
        <v>1710</v>
      </c>
      <c r="R10" s="9">
        <v>850</v>
      </c>
      <c r="S10" s="9">
        <v>804</v>
      </c>
      <c r="T10" s="9">
        <v>2258</v>
      </c>
      <c r="V10" s="9">
        <v>1826</v>
      </c>
      <c r="W10" s="9">
        <v>1775</v>
      </c>
      <c r="X10" s="9">
        <v>766</v>
      </c>
      <c r="Y10" s="9">
        <v>2154</v>
      </c>
    </row>
    <row r="11" spans="2:31">
      <c r="B11" s="9">
        <v>760</v>
      </c>
      <c r="C11" s="9">
        <v>326</v>
      </c>
      <c r="D11" s="9">
        <v>395</v>
      </c>
      <c r="E11" s="9">
        <v>1815</v>
      </c>
      <c r="G11" s="9">
        <v>1115</v>
      </c>
      <c r="H11" s="9">
        <v>362</v>
      </c>
      <c r="I11" s="9">
        <v>345</v>
      </c>
      <c r="J11" s="9">
        <v>1548</v>
      </c>
      <c r="L11" s="9">
        <v>1391</v>
      </c>
      <c r="M11" s="9">
        <v>644</v>
      </c>
      <c r="N11" s="9">
        <v>499</v>
      </c>
      <c r="O11" s="9">
        <v>1323</v>
      </c>
      <c r="Q11" s="9">
        <v>1059</v>
      </c>
      <c r="R11" s="9">
        <v>1098</v>
      </c>
      <c r="S11" s="9">
        <v>813</v>
      </c>
      <c r="T11" s="9">
        <v>2730</v>
      </c>
      <c r="V11" s="9">
        <v>1463</v>
      </c>
      <c r="W11" s="9">
        <v>3405</v>
      </c>
      <c r="X11" s="9">
        <v>922</v>
      </c>
      <c r="Y11" s="9">
        <v>2301</v>
      </c>
    </row>
    <row r="12" spans="2:31">
      <c r="B12" s="9">
        <v>790</v>
      </c>
      <c r="C12" s="9">
        <v>321</v>
      </c>
      <c r="D12" s="9">
        <v>406</v>
      </c>
      <c r="E12" s="9">
        <v>1732</v>
      </c>
      <c r="G12" s="9">
        <v>1368</v>
      </c>
      <c r="H12" s="9">
        <v>330</v>
      </c>
      <c r="I12" s="9">
        <v>345</v>
      </c>
      <c r="J12" s="9">
        <v>880</v>
      </c>
      <c r="L12" s="9">
        <v>1436</v>
      </c>
      <c r="M12" s="9">
        <v>3020</v>
      </c>
      <c r="N12" s="9">
        <v>424</v>
      </c>
      <c r="O12" s="9">
        <v>1448</v>
      </c>
      <c r="Q12" s="9">
        <v>1334</v>
      </c>
      <c r="R12" s="9">
        <v>1266</v>
      </c>
      <c r="S12" s="9">
        <v>857</v>
      </c>
      <c r="T12" s="9">
        <v>2260</v>
      </c>
      <c r="V12" s="9">
        <v>1743</v>
      </c>
      <c r="W12" s="9">
        <v>2015</v>
      </c>
      <c r="X12" s="9">
        <v>1007</v>
      </c>
      <c r="Y12" s="9">
        <v>1823</v>
      </c>
    </row>
    <row r="13" spans="2:31">
      <c r="B13" s="9">
        <v>846</v>
      </c>
      <c r="C13" s="9">
        <v>309</v>
      </c>
      <c r="D13" s="9">
        <v>391</v>
      </c>
      <c r="E13" s="9">
        <v>1205</v>
      </c>
      <c r="G13" s="9">
        <v>736</v>
      </c>
      <c r="H13" s="9">
        <v>365</v>
      </c>
      <c r="I13" s="9">
        <v>343</v>
      </c>
      <c r="J13" s="9">
        <v>1286</v>
      </c>
      <c r="L13" s="9">
        <v>945</v>
      </c>
      <c r="M13" s="9">
        <v>819</v>
      </c>
      <c r="N13" s="9">
        <v>424</v>
      </c>
      <c r="O13" s="9">
        <v>1868</v>
      </c>
      <c r="Q13" s="9">
        <v>1459</v>
      </c>
      <c r="R13" s="9">
        <v>1732</v>
      </c>
      <c r="S13" s="9">
        <v>847</v>
      </c>
      <c r="T13" s="9">
        <v>2397</v>
      </c>
      <c r="V13" s="9">
        <v>1748</v>
      </c>
      <c r="W13" s="9">
        <v>1632</v>
      </c>
      <c r="X13" s="9">
        <v>802</v>
      </c>
      <c r="Y13" s="9">
        <v>2472</v>
      </c>
    </row>
    <row r="14" spans="2:31">
      <c r="B14" s="9">
        <v>927</v>
      </c>
      <c r="C14" s="9">
        <v>311</v>
      </c>
      <c r="D14" s="9">
        <v>396</v>
      </c>
      <c r="E14" s="9">
        <v>1135</v>
      </c>
      <c r="G14" s="9">
        <v>1767</v>
      </c>
      <c r="H14" s="9">
        <v>339</v>
      </c>
      <c r="I14" s="9">
        <v>342</v>
      </c>
      <c r="J14" s="9">
        <v>1483</v>
      </c>
      <c r="L14" s="9">
        <v>671</v>
      </c>
      <c r="M14" s="9">
        <v>740</v>
      </c>
      <c r="N14" s="9">
        <v>419</v>
      </c>
      <c r="O14" s="9">
        <v>1120</v>
      </c>
      <c r="Q14" s="9">
        <v>1263</v>
      </c>
      <c r="R14" s="9">
        <v>1453</v>
      </c>
      <c r="S14" s="9">
        <v>838</v>
      </c>
      <c r="T14" s="9">
        <v>2341</v>
      </c>
      <c r="V14" s="9">
        <v>1337</v>
      </c>
      <c r="W14" s="9">
        <v>1557</v>
      </c>
      <c r="X14" s="9">
        <v>760</v>
      </c>
      <c r="Y14" s="9">
        <v>1878</v>
      </c>
    </row>
    <row r="15" spans="2:31">
      <c r="B15" s="9">
        <v>732</v>
      </c>
      <c r="C15" s="9">
        <v>325</v>
      </c>
      <c r="D15" s="9">
        <v>481</v>
      </c>
      <c r="E15" s="9">
        <v>988</v>
      </c>
      <c r="G15" s="9">
        <v>576</v>
      </c>
      <c r="H15" s="9">
        <v>377</v>
      </c>
      <c r="I15" s="9">
        <v>358</v>
      </c>
      <c r="J15" s="9">
        <v>1031</v>
      </c>
      <c r="L15" s="9">
        <v>835</v>
      </c>
      <c r="M15" s="9">
        <v>533</v>
      </c>
      <c r="N15" s="9">
        <v>424</v>
      </c>
      <c r="O15" s="9">
        <v>1894</v>
      </c>
      <c r="Q15" s="9">
        <v>1007</v>
      </c>
      <c r="R15" s="9">
        <v>995</v>
      </c>
      <c r="S15" s="9">
        <v>966</v>
      </c>
      <c r="T15" s="9">
        <v>2000</v>
      </c>
      <c r="V15" s="9">
        <v>1172</v>
      </c>
      <c r="W15" s="9">
        <v>2046</v>
      </c>
      <c r="X15" s="9">
        <v>763</v>
      </c>
      <c r="Y15" s="9">
        <v>2543</v>
      </c>
    </row>
    <row r="16" spans="2:31">
      <c r="B16" s="9">
        <v>789</v>
      </c>
      <c r="C16" s="9">
        <v>294</v>
      </c>
      <c r="D16" s="9">
        <v>483</v>
      </c>
      <c r="E16" s="9">
        <v>1237</v>
      </c>
      <c r="G16" s="9">
        <v>840</v>
      </c>
      <c r="H16" s="9">
        <v>381</v>
      </c>
      <c r="I16" s="9">
        <v>350</v>
      </c>
      <c r="J16" s="9">
        <v>1207</v>
      </c>
      <c r="L16" s="9">
        <v>863</v>
      </c>
      <c r="M16" s="9">
        <v>1611</v>
      </c>
      <c r="N16" s="9">
        <v>414</v>
      </c>
      <c r="O16" s="9">
        <v>1439</v>
      </c>
      <c r="Q16" s="9">
        <v>1052</v>
      </c>
      <c r="R16" s="9">
        <v>1853</v>
      </c>
      <c r="S16" s="9">
        <v>781</v>
      </c>
      <c r="T16" s="9">
        <v>2316</v>
      </c>
      <c r="V16" s="9">
        <v>2277</v>
      </c>
      <c r="W16" s="9">
        <v>1094</v>
      </c>
      <c r="X16" s="9">
        <v>689</v>
      </c>
      <c r="Y16" s="9">
        <v>2977</v>
      </c>
    </row>
    <row r="17" spans="2:25">
      <c r="B17" s="9">
        <v>1498</v>
      </c>
      <c r="C17" s="9">
        <v>309</v>
      </c>
      <c r="D17" s="9">
        <v>396</v>
      </c>
      <c r="E17" s="9">
        <v>2089</v>
      </c>
      <c r="G17" s="9">
        <v>837</v>
      </c>
      <c r="H17" s="9">
        <v>337</v>
      </c>
      <c r="I17" s="9">
        <v>416</v>
      </c>
      <c r="J17" s="9">
        <v>1066</v>
      </c>
      <c r="L17" s="9">
        <v>682</v>
      </c>
      <c r="M17" s="9">
        <v>1197</v>
      </c>
      <c r="N17" s="9">
        <v>438</v>
      </c>
      <c r="O17" s="9">
        <v>1330</v>
      </c>
      <c r="Q17" s="9">
        <v>1126</v>
      </c>
      <c r="R17" s="9">
        <v>1663</v>
      </c>
      <c r="S17" s="9">
        <v>631</v>
      </c>
      <c r="T17" s="9">
        <v>3478</v>
      </c>
      <c r="V17" s="9">
        <v>1289</v>
      </c>
      <c r="W17" s="9">
        <v>1083</v>
      </c>
      <c r="X17" s="9">
        <v>698</v>
      </c>
      <c r="Y17" s="9">
        <v>2057</v>
      </c>
    </row>
    <row r="18" spans="2:25">
      <c r="B18" s="9">
        <v>708</v>
      </c>
      <c r="C18" s="9">
        <v>308</v>
      </c>
      <c r="D18" s="9">
        <v>397</v>
      </c>
      <c r="E18" s="9">
        <v>2092</v>
      </c>
      <c r="G18" s="9">
        <v>1231</v>
      </c>
      <c r="H18" s="9">
        <v>307</v>
      </c>
      <c r="I18" s="9">
        <v>365</v>
      </c>
      <c r="J18" s="9">
        <v>868</v>
      </c>
      <c r="L18" s="9">
        <v>800</v>
      </c>
      <c r="M18" s="9">
        <v>506</v>
      </c>
      <c r="N18" s="9">
        <v>426</v>
      </c>
      <c r="O18" s="9">
        <v>1393</v>
      </c>
      <c r="Q18" s="9">
        <v>888</v>
      </c>
      <c r="R18" s="9">
        <v>2034</v>
      </c>
      <c r="S18" s="9">
        <v>736</v>
      </c>
      <c r="T18" s="9">
        <v>2984</v>
      </c>
      <c r="V18" s="9">
        <v>1386</v>
      </c>
      <c r="W18" s="9">
        <v>1463</v>
      </c>
      <c r="X18" s="9">
        <v>677</v>
      </c>
      <c r="Y18" s="9">
        <v>1976</v>
      </c>
    </row>
    <row r="19" spans="2:25">
      <c r="B19" s="9">
        <v>1825</v>
      </c>
      <c r="C19" s="9">
        <v>295</v>
      </c>
      <c r="D19" s="9">
        <v>401</v>
      </c>
      <c r="E19" s="9">
        <v>2163</v>
      </c>
      <c r="G19" s="9">
        <v>1347</v>
      </c>
      <c r="H19" s="9">
        <v>349</v>
      </c>
      <c r="I19" s="9">
        <v>369</v>
      </c>
      <c r="J19" s="9">
        <v>1988</v>
      </c>
      <c r="L19" s="9">
        <v>1108</v>
      </c>
      <c r="M19" s="9">
        <v>520</v>
      </c>
      <c r="N19" s="9">
        <v>438</v>
      </c>
      <c r="O19" s="9">
        <v>1754</v>
      </c>
      <c r="Q19" s="9">
        <v>1000</v>
      </c>
      <c r="R19" s="9">
        <v>1905</v>
      </c>
      <c r="S19" s="9">
        <v>676</v>
      </c>
      <c r="T19" s="9">
        <v>2223</v>
      </c>
      <c r="V19" s="9">
        <v>1092</v>
      </c>
      <c r="W19" s="9">
        <v>954</v>
      </c>
      <c r="X19" s="9">
        <v>755</v>
      </c>
      <c r="Y19" s="9">
        <v>3106</v>
      </c>
    </row>
    <row r="20" spans="2:25">
      <c r="B20" s="9">
        <v>979</v>
      </c>
      <c r="C20" s="9">
        <v>389</v>
      </c>
      <c r="D20" s="9">
        <v>399</v>
      </c>
      <c r="E20" s="9">
        <v>1306</v>
      </c>
      <c r="G20" s="9">
        <v>984</v>
      </c>
      <c r="H20" s="9">
        <v>311</v>
      </c>
      <c r="I20" s="9">
        <v>347</v>
      </c>
      <c r="J20" s="9">
        <v>1864</v>
      </c>
      <c r="L20" s="9">
        <v>904</v>
      </c>
      <c r="M20" s="9">
        <v>551</v>
      </c>
      <c r="N20" s="9">
        <v>423</v>
      </c>
      <c r="O20" s="9">
        <v>1375</v>
      </c>
      <c r="Q20" s="9">
        <v>1110</v>
      </c>
      <c r="R20" s="9">
        <v>2496</v>
      </c>
      <c r="S20" s="9">
        <v>720</v>
      </c>
      <c r="T20" s="9">
        <v>2642</v>
      </c>
      <c r="V20" s="9">
        <v>1306</v>
      </c>
      <c r="W20" s="9">
        <v>840</v>
      </c>
      <c r="X20" s="9">
        <v>809</v>
      </c>
      <c r="Y20" s="9">
        <v>2570</v>
      </c>
    </row>
    <row r="21" spans="2:25">
      <c r="B21" s="9">
        <v>1997</v>
      </c>
      <c r="C21" s="9">
        <v>308</v>
      </c>
      <c r="D21" s="9">
        <v>404</v>
      </c>
      <c r="E21" s="9">
        <v>1355</v>
      </c>
      <c r="G21" s="9">
        <v>827</v>
      </c>
      <c r="H21" s="9">
        <v>335</v>
      </c>
      <c r="I21" s="9">
        <v>342</v>
      </c>
      <c r="J21" s="9">
        <v>1592</v>
      </c>
      <c r="L21" s="9">
        <v>955</v>
      </c>
      <c r="M21" s="9">
        <v>562</v>
      </c>
      <c r="N21" s="9">
        <v>423</v>
      </c>
      <c r="O21" s="9">
        <v>1532</v>
      </c>
      <c r="Q21" s="9">
        <v>980</v>
      </c>
      <c r="R21" s="9">
        <v>1561</v>
      </c>
      <c r="S21" s="9">
        <v>697</v>
      </c>
      <c r="T21" s="9">
        <v>2196</v>
      </c>
      <c r="V21" s="9">
        <v>1040</v>
      </c>
      <c r="W21" s="9">
        <v>1176</v>
      </c>
      <c r="X21" s="9">
        <v>750</v>
      </c>
      <c r="Y21" s="9">
        <v>2666</v>
      </c>
    </row>
    <row r="22" spans="2:25">
      <c r="B22" s="9">
        <v>1530</v>
      </c>
      <c r="C22" s="9">
        <v>355</v>
      </c>
      <c r="D22" s="9">
        <v>404</v>
      </c>
      <c r="E22" s="9">
        <v>1503</v>
      </c>
      <c r="G22" s="9">
        <v>664</v>
      </c>
      <c r="H22" s="9">
        <v>322</v>
      </c>
      <c r="I22" s="9">
        <v>339</v>
      </c>
      <c r="J22" s="9">
        <v>1536</v>
      </c>
      <c r="L22" s="9">
        <v>975</v>
      </c>
      <c r="M22" s="9">
        <v>689</v>
      </c>
      <c r="N22" s="9">
        <v>444</v>
      </c>
      <c r="O22" s="9">
        <v>1900</v>
      </c>
      <c r="Q22" s="9">
        <v>981</v>
      </c>
      <c r="R22" s="9">
        <v>1044</v>
      </c>
      <c r="S22" s="9">
        <v>642</v>
      </c>
      <c r="T22" s="9">
        <v>1944</v>
      </c>
      <c r="V22" s="9">
        <v>1272</v>
      </c>
      <c r="W22" s="9">
        <v>1036</v>
      </c>
      <c r="X22" s="9">
        <v>679</v>
      </c>
      <c r="Y22" s="9">
        <v>2123</v>
      </c>
    </row>
    <row r="23" spans="2:25">
      <c r="B23" s="9">
        <v>1592</v>
      </c>
      <c r="C23" s="9">
        <v>340</v>
      </c>
      <c r="D23" s="9">
        <v>409</v>
      </c>
      <c r="E23" s="9">
        <v>1465</v>
      </c>
      <c r="G23" s="9">
        <v>573</v>
      </c>
      <c r="H23" s="9">
        <v>314</v>
      </c>
      <c r="I23" s="9">
        <v>342</v>
      </c>
      <c r="J23" s="9">
        <v>1122</v>
      </c>
      <c r="L23" s="9">
        <v>1527</v>
      </c>
      <c r="M23" s="9">
        <v>509</v>
      </c>
      <c r="N23" s="9">
        <v>472</v>
      </c>
      <c r="O23" s="9">
        <v>1796</v>
      </c>
      <c r="Q23" s="9">
        <v>1049</v>
      </c>
      <c r="R23" s="9">
        <v>1162</v>
      </c>
      <c r="S23" s="9">
        <v>659</v>
      </c>
      <c r="T23" s="9">
        <v>2058</v>
      </c>
      <c r="V23" s="9">
        <v>1234</v>
      </c>
      <c r="W23" s="9">
        <v>1306</v>
      </c>
      <c r="X23" s="9">
        <v>765</v>
      </c>
      <c r="Y23" s="9">
        <v>2697</v>
      </c>
    </row>
    <row r="24" spans="2:25">
      <c r="B24" s="9">
        <v>1113</v>
      </c>
      <c r="C24" s="9">
        <v>373</v>
      </c>
      <c r="D24" s="9">
        <v>412</v>
      </c>
      <c r="E24" s="9">
        <v>1695</v>
      </c>
      <c r="G24" s="9">
        <v>696</v>
      </c>
      <c r="H24" s="9">
        <v>322</v>
      </c>
      <c r="I24" s="9">
        <v>445</v>
      </c>
      <c r="J24" s="9">
        <v>1796</v>
      </c>
      <c r="L24" s="9">
        <v>929</v>
      </c>
      <c r="M24" s="9">
        <v>510</v>
      </c>
      <c r="N24" s="9">
        <v>420</v>
      </c>
      <c r="O24" s="9">
        <v>1362</v>
      </c>
      <c r="Q24" s="9">
        <v>1265</v>
      </c>
      <c r="R24" s="9">
        <v>942</v>
      </c>
      <c r="S24" s="9">
        <v>633</v>
      </c>
      <c r="T24" s="9">
        <v>2331</v>
      </c>
      <c r="V24" s="9">
        <v>1136</v>
      </c>
      <c r="W24" s="9">
        <v>3541</v>
      </c>
      <c r="X24" s="9">
        <v>838</v>
      </c>
      <c r="Y24" s="9">
        <v>2621</v>
      </c>
    </row>
    <row r="25" spans="2:25">
      <c r="B25" s="9">
        <v>1123</v>
      </c>
      <c r="C25" s="9">
        <v>329</v>
      </c>
      <c r="D25" s="9">
        <v>414</v>
      </c>
      <c r="E25" s="9">
        <v>1169</v>
      </c>
      <c r="G25" s="9">
        <v>568</v>
      </c>
      <c r="H25" s="9">
        <v>339</v>
      </c>
      <c r="I25" s="9">
        <v>470</v>
      </c>
      <c r="J25" s="9">
        <v>1730</v>
      </c>
      <c r="L25" s="9">
        <v>695</v>
      </c>
      <c r="M25" s="9">
        <v>509</v>
      </c>
      <c r="N25" s="9">
        <v>429</v>
      </c>
      <c r="O25" s="9">
        <v>1618</v>
      </c>
      <c r="Q25" s="9">
        <v>1029</v>
      </c>
      <c r="R25" s="9">
        <v>1159</v>
      </c>
      <c r="S25" s="9">
        <v>651</v>
      </c>
      <c r="T25" s="9">
        <v>1832</v>
      </c>
      <c r="V25" s="9">
        <v>1338</v>
      </c>
      <c r="W25" s="9">
        <v>1028</v>
      </c>
      <c r="X25" s="9">
        <v>976</v>
      </c>
      <c r="Y25" s="9">
        <v>2910</v>
      </c>
    </row>
    <row r="26" spans="2:25">
      <c r="B26" s="9">
        <v>770</v>
      </c>
      <c r="C26" s="9">
        <v>312</v>
      </c>
      <c r="D26" s="9">
        <v>428</v>
      </c>
      <c r="E26" s="9">
        <v>1818</v>
      </c>
      <c r="G26" s="9">
        <v>716</v>
      </c>
      <c r="H26" s="9">
        <v>290</v>
      </c>
      <c r="I26" s="9">
        <v>343</v>
      </c>
      <c r="J26" s="9">
        <v>1138</v>
      </c>
      <c r="L26" s="9">
        <v>919</v>
      </c>
      <c r="M26" s="9">
        <v>825</v>
      </c>
      <c r="N26" s="9">
        <v>485</v>
      </c>
      <c r="O26" s="9">
        <v>2772</v>
      </c>
      <c r="Q26" s="9">
        <v>1132</v>
      </c>
      <c r="R26" s="9">
        <v>1019</v>
      </c>
      <c r="S26" s="9">
        <v>638</v>
      </c>
      <c r="T26" s="9">
        <v>2692</v>
      </c>
      <c r="V26" s="9">
        <v>1202</v>
      </c>
      <c r="W26" s="9">
        <v>1005</v>
      </c>
      <c r="X26" s="9">
        <v>949</v>
      </c>
      <c r="Y26" s="9">
        <v>3103</v>
      </c>
    </row>
    <row r="27" spans="2:25">
      <c r="B27" s="9">
        <v>869</v>
      </c>
      <c r="C27" s="9">
        <v>314</v>
      </c>
      <c r="D27" s="9">
        <v>522</v>
      </c>
      <c r="E27" s="9">
        <v>1435</v>
      </c>
      <c r="G27" s="9">
        <v>706</v>
      </c>
      <c r="H27" s="9">
        <v>321</v>
      </c>
      <c r="I27" s="9">
        <v>340</v>
      </c>
      <c r="J27" s="9">
        <v>1234</v>
      </c>
      <c r="L27" s="9">
        <v>1111</v>
      </c>
      <c r="M27" s="9">
        <v>1473</v>
      </c>
      <c r="N27" s="9">
        <v>435</v>
      </c>
      <c r="O27" s="9">
        <v>1335</v>
      </c>
      <c r="Q27" s="9">
        <v>1347</v>
      </c>
      <c r="R27" s="9">
        <v>779</v>
      </c>
      <c r="S27" s="9">
        <v>625</v>
      </c>
      <c r="T27" s="9">
        <v>2237</v>
      </c>
      <c r="V27" s="9">
        <v>1203</v>
      </c>
      <c r="W27" s="9">
        <v>1034</v>
      </c>
      <c r="X27" s="9">
        <v>1037</v>
      </c>
      <c r="Y27" s="9">
        <v>2343</v>
      </c>
    </row>
    <row r="28" spans="2:25">
      <c r="B28" s="9">
        <v>1789</v>
      </c>
      <c r="C28" s="9">
        <v>298</v>
      </c>
      <c r="D28" s="9">
        <v>399</v>
      </c>
      <c r="E28" s="9">
        <v>1280</v>
      </c>
      <c r="G28" s="9">
        <v>631</v>
      </c>
      <c r="H28" s="9">
        <v>336</v>
      </c>
      <c r="I28" s="9">
        <v>351</v>
      </c>
      <c r="J28" s="9">
        <v>1351</v>
      </c>
      <c r="L28" s="9">
        <v>682</v>
      </c>
      <c r="M28" s="9">
        <v>562</v>
      </c>
      <c r="N28" s="9">
        <v>491</v>
      </c>
      <c r="O28" s="9">
        <v>2145</v>
      </c>
      <c r="Q28" s="9">
        <v>1698</v>
      </c>
      <c r="R28" s="9">
        <v>1446</v>
      </c>
      <c r="S28" s="9">
        <v>619</v>
      </c>
      <c r="T28" s="9">
        <v>2657</v>
      </c>
      <c r="V28" s="9">
        <v>1491</v>
      </c>
      <c r="W28" s="9">
        <v>1441</v>
      </c>
      <c r="X28" s="9">
        <v>886</v>
      </c>
      <c r="Y28" s="9">
        <v>2608</v>
      </c>
    </row>
    <row r="29" spans="2:25">
      <c r="B29" s="9">
        <v>835</v>
      </c>
      <c r="C29" s="9">
        <v>304</v>
      </c>
      <c r="D29" s="9">
        <v>398</v>
      </c>
      <c r="E29" s="9">
        <v>1780</v>
      </c>
      <c r="G29" s="9">
        <v>599</v>
      </c>
      <c r="H29" s="9">
        <v>333</v>
      </c>
      <c r="I29" s="9">
        <v>351</v>
      </c>
      <c r="J29" s="9">
        <v>1125</v>
      </c>
      <c r="L29" s="9">
        <v>1270</v>
      </c>
      <c r="M29" s="9">
        <v>624</v>
      </c>
      <c r="N29" s="9">
        <v>428</v>
      </c>
      <c r="O29" s="9">
        <v>1182</v>
      </c>
      <c r="Q29" s="9">
        <v>1108</v>
      </c>
      <c r="R29" s="9">
        <v>885</v>
      </c>
      <c r="S29" s="9">
        <v>629</v>
      </c>
      <c r="T29" s="9">
        <v>1503</v>
      </c>
      <c r="V29" s="9">
        <v>1279</v>
      </c>
      <c r="W29" s="9">
        <v>1080</v>
      </c>
      <c r="X29" s="9">
        <v>870</v>
      </c>
      <c r="Y29" s="9">
        <v>2532</v>
      </c>
    </row>
    <row r="30" spans="2:25">
      <c r="B30" s="9">
        <v>961</v>
      </c>
      <c r="C30" s="9">
        <v>318</v>
      </c>
      <c r="D30" s="9">
        <v>411</v>
      </c>
      <c r="E30" s="9">
        <v>1390</v>
      </c>
      <c r="G30" s="9">
        <v>627</v>
      </c>
      <c r="H30" s="9">
        <v>328</v>
      </c>
      <c r="I30" s="9">
        <v>348</v>
      </c>
      <c r="J30" s="9">
        <v>1109</v>
      </c>
      <c r="L30" s="9">
        <v>1073</v>
      </c>
      <c r="M30" s="9">
        <v>972</v>
      </c>
      <c r="N30" s="9">
        <v>468</v>
      </c>
      <c r="O30" s="9">
        <v>1306</v>
      </c>
      <c r="Q30" s="9">
        <v>1803</v>
      </c>
      <c r="R30" s="9">
        <v>786</v>
      </c>
      <c r="S30" s="9">
        <v>623</v>
      </c>
      <c r="T30" s="9">
        <v>15346</v>
      </c>
      <c r="V30" s="9">
        <v>1183</v>
      </c>
      <c r="W30" s="9">
        <v>994</v>
      </c>
      <c r="X30" s="9">
        <v>659</v>
      </c>
      <c r="Y30" s="9">
        <v>2978</v>
      </c>
    </row>
    <row r="31" spans="2:25">
      <c r="B31" s="9">
        <v>1672</v>
      </c>
      <c r="C31" s="9">
        <v>313</v>
      </c>
      <c r="D31" s="9">
        <v>397</v>
      </c>
      <c r="E31" s="9">
        <v>1505</v>
      </c>
      <c r="G31" s="9">
        <v>648</v>
      </c>
      <c r="H31" s="9">
        <v>371</v>
      </c>
      <c r="I31" s="9">
        <v>352</v>
      </c>
      <c r="J31" s="9">
        <v>925</v>
      </c>
      <c r="L31" s="9">
        <v>974</v>
      </c>
      <c r="M31" s="9">
        <v>650</v>
      </c>
      <c r="N31" s="9">
        <v>426</v>
      </c>
      <c r="O31" s="9">
        <v>2154</v>
      </c>
      <c r="Q31" s="9">
        <v>1041</v>
      </c>
      <c r="R31" s="9">
        <v>1007</v>
      </c>
      <c r="S31" s="9">
        <v>620</v>
      </c>
      <c r="T31" s="9">
        <v>2154</v>
      </c>
      <c r="V31" s="9">
        <v>1148</v>
      </c>
      <c r="W31" s="9">
        <v>1207</v>
      </c>
      <c r="X31" s="9">
        <v>760</v>
      </c>
      <c r="Y31" s="9">
        <v>2103</v>
      </c>
    </row>
    <row r="32" spans="2:25">
      <c r="B32" s="9">
        <v>1180</v>
      </c>
      <c r="C32" s="9">
        <v>358</v>
      </c>
      <c r="D32" s="9">
        <v>399</v>
      </c>
      <c r="E32" s="9">
        <v>2021</v>
      </c>
      <c r="G32" s="9">
        <v>989</v>
      </c>
      <c r="H32" s="9">
        <v>511</v>
      </c>
      <c r="I32" s="9">
        <v>342</v>
      </c>
      <c r="J32" s="9">
        <v>1641</v>
      </c>
      <c r="L32" s="9">
        <v>741</v>
      </c>
      <c r="M32" s="9">
        <v>572</v>
      </c>
      <c r="N32" s="9">
        <v>492</v>
      </c>
      <c r="O32" s="9">
        <v>1349</v>
      </c>
      <c r="Q32" s="9">
        <v>1055</v>
      </c>
      <c r="R32" s="9">
        <v>789</v>
      </c>
      <c r="S32" s="9">
        <v>679</v>
      </c>
      <c r="T32" s="9">
        <v>2319</v>
      </c>
      <c r="V32" s="9">
        <v>1153</v>
      </c>
      <c r="W32" s="9">
        <v>1873</v>
      </c>
      <c r="X32" s="9">
        <v>779</v>
      </c>
      <c r="Y32" s="9">
        <v>2591</v>
      </c>
    </row>
    <row r="33" spans="1:31">
      <c r="B33" s="9">
        <v>1249</v>
      </c>
      <c r="C33" s="9">
        <v>322</v>
      </c>
      <c r="D33" s="9">
        <v>395</v>
      </c>
      <c r="E33" s="9">
        <v>1616</v>
      </c>
      <c r="G33" s="9">
        <v>1098</v>
      </c>
      <c r="H33" s="9">
        <v>371</v>
      </c>
      <c r="I33" s="9">
        <v>349</v>
      </c>
      <c r="J33" s="9">
        <v>1147</v>
      </c>
      <c r="L33" s="9">
        <v>817</v>
      </c>
      <c r="M33" s="9">
        <v>643</v>
      </c>
      <c r="N33" s="9">
        <v>598</v>
      </c>
      <c r="O33" s="9">
        <v>1368</v>
      </c>
      <c r="Q33" s="9">
        <v>858</v>
      </c>
      <c r="R33" s="9">
        <v>890</v>
      </c>
      <c r="S33" s="9">
        <v>629</v>
      </c>
      <c r="T33" s="9">
        <v>1427</v>
      </c>
      <c r="V33" s="9">
        <v>1010</v>
      </c>
      <c r="W33" s="9">
        <v>909</v>
      </c>
      <c r="X33" s="9">
        <v>765</v>
      </c>
      <c r="Y33" s="9">
        <v>2392</v>
      </c>
    </row>
    <row r="34" spans="1:31">
      <c r="B34" s="9">
        <v>1130</v>
      </c>
      <c r="C34" s="9">
        <v>299</v>
      </c>
      <c r="D34" s="9">
        <v>402</v>
      </c>
      <c r="E34" s="9">
        <v>818</v>
      </c>
      <c r="G34" s="9">
        <v>652</v>
      </c>
      <c r="H34" s="9">
        <v>576</v>
      </c>
      <c r="I34" s="9">
        <v>345</v>
      </c>
      <c r="J34" s="9">
        <v>1342</v>
      </c>
      <c r="L34" s="9">
        <v>706</v>
      </c>
      <c r="M34" s="9">
        <v>614</v>
      </c>
      <c r="N34" s="9">
        <v>428</v>
      </c>
      <c r="O34" s="9">
        <v>1566</v>
      </c>
      <c r="Q34" s="9">
        <v>907</v>
      </c>
      <c r="R34" s="9">
        <v>737</v>
      </c>
      <c r="S34" s="9">
        <v>624</v>
      </c>
      <c r="T34" s="9">
        <v>2069</v>
      </c>
      <c r="V34" s="9">
        <v>1055</v>
      </c>
      <c r="W34" s="9">
        <v>920</v>
      </c>
      <c r="X34" s="9">
        <v>737</v>
      </c>
      <c r="Y34" s="9">
        <v>1985</v>
      </c>
    </row>
    <row r="35" spans="1:31">
      <c r="B35" s="9">
        <v>1504</v>
      </c>
      <c r="C35" s="9">
        <v>298</v>
      </c>
      <c r="D35" s="9">
        <v>393</v>
      </c>
      <c r="E35" s="9">
        <v>1700</v>
      </c>
      <c r="G35" s="9">
        <v>663</v>
      </c>
      <c r="H35" s="9">
        <v>381</v>
      </c>
      <c r="I35" s="9">
        <v>336</v>
      </c>
      <c r="J35" s="9">
        <v>1279</v>
      </c>
      <c r="L35" s="9">
        <v>700</v>
      </c>
      <c r="M35" s="9">
        <v>1253</v>
      </c>
      <c r="N35" s="9">
        <v>439</v>
      </c>
      <c r="O35" s="9">
        <v>1601</v>
      </c>
      <c r="Q35" s="9">
        <v>1022</v>
      </c>
      <c r="R35" s="9">
        <v>875</v>
      </c>
      <c r="S35" s="9">
        <v>623</v>
      </c>
      <c r="T35" s="9">
        <v>2037</v>
      </c>
      <c r="V35" s="9">
        <v>1090</v>
      </c>
      <c r="W35" s="9">
        <v>940</v>
      </c>
      <c r="X35" s="9">
        <v>785</v>
      </c>
      <c r="Y35" s="9">
        <v>1855</v>
      </c>
    </row>
    <row r="36" spans="1:31">
      <c r="A36" s="10" t="s">
        <v>10</v>
      </c>
      <c r="B36" s="11">
        <f>AVERAGE(B6:B35)</f>
        <v>1244.4000000000001</v>
      </c>
      <c r="C36" s="11">
        <f>AVERAGE(C6:C35)</f>
        <v>320.46666666666664</v>
      </c>
      <c r="D36" s="11">
        <f>AVERAGE(D6:D35)</f>
        <v>415.63333333333333</v>
      </c>
      <c r="E36" s="11">
        <f>AVERAGE(E6:E35)</f>
        <v>1515.7333333333333</v>
      </c>
      <c r="F36" s="12"/>
      <c r="G36" s="11">
        <f>AVERAGE(G6:G35)</f>
        <v>868</v>
      </c>
      <c r="H36" s="11">
        <f>AVERAGE(H6:H35)</f>
        <v>351.96666666666664</v>
      </c>
      <c r="I36" s="11">
        <f>AVERAGE(I6:I35)</f>
        <v>360.66666666666669</v>
      </c>
      <c r="J36" s="11">
        <f>AVERAGE(J6:J35)</f>
        <v>1332.1</v>
      </c>
      <c r="K36" s="12"/>
      <c r="L36" s="11">
        <f>AVERAGE(L6:L35)</f>
        <v>966.9</v>
      </c>
      <c r="M36" s="11">
        <f>AVERAGE(M6:M35)</f>
        <v>853.8</v>
      </c>
      <c r="N36" s="11">
        <f>AVERAGE(N6:N35)</f>
        <v>447.63333333333333</v>
      </c>
      <c r="O36" s="11">
        <f>AVERAGE(O6:O35)</f>
        <v>1635.9666666666667</v>
      </c>
      <c r="P36" s="12"/>
      <c r="Q36" s="11">
        <f>AVERAGE(Q6:Q35)</f>
        <v>1172.5999999999999</v>
      </c>
      <c r="R36" s="11">
        <f>AVERAGE(R6:R35)</f>
        <v>1446.2666666666667</v>
      </c>
      <c r="S36" s="11">
        <f>AVERAGE(S6:S35)</f>
        <v>697.76666666666665</v>
      </c>
      <c r="T36" s="11">
        <f>AVERAGE(T6:T35)</f>
        <v>2715</v>
      </c>
      <c r="U36" s="12"/>
      <c r="V36" s="11">
        <f>AVERAGE(V6:V35)</f>
        <v>1305.2666666666667</v>
      </c>
      <c r="W36" s="11">
        <f>AVERAGE(W6:W35)</f>
        <v>1439.1333333333334</v>
      </c>
      <c r="X36" s="11">
        <f>AVERAGE(X6:X35)</f>
        <v>805.63333333333333</v>
      </c>
      <c r="Y36" s="11">
        <f>AVERAGE(Y6:Y35)</f>
        <v>2417.3000000000002</v>
      </c>
    </row>
    <row r="38" spans="1:31" ht="15.75" thickBot="1"/>
    <row r="39" spans="1:31" ht="15.75" thickBot="1">
      <c r="B39" s="60" t="s">
        <v>0</v>
      </c>
      <c r="C39" s="61"/>
      <c r="D39" s="61"/>
      <c r="E39" s="61"/>
      <c r="G39" s="60" t="s">
        <v>0</v>
      </c>
      <c r="H39" s="61"/>
      <c r="I39" s="61"/>
      <c r="J39" s="61"/>
      <c r="L39" s="60" t="s">
        <v>0</v>
      </c>
      <c r="M39" s="61"/>
      <c r="N39" s="61"/>
      <c r="O39" s="61"/>
      <c r="Q39" s="60" t="s">
        <v>0</v>
      </c>
      <c r="R39" s="61"/>
      <c r="S39" s="61"/>
      <c r="T39" s="61"/>
      <c r="V39" s="60" t="s">
        <v>0</v>
      </c>
      <c r="W39" s="61"/>
      <c r="X39" s="61"/>
      <c r="Y39" s="61"/>
      <c r="AA39" s="20"/>
      <c r="AB39" s="20"/>
      <c r="AC39" s="20"/>
      <c r="AD39" s="20"/>
      <c r="AE39" s="20"/>
    </row>
    <row r="40" spans="1:31" ht="21.75" customHeight="1" thickBot="1">
      <c r="B40" s="63" t="s">
        <v>11</v>
      </c>
      <c r="C40" s="64"/>
      <c r="D40" s="64"/>
      <c r="E40" s="65"/>
      <c r="G40" s="59" t="s">
        <v>12</v>
      </c>
      <c r="H40" s="59"/>
      <c r="I40" s="59"/>
      <c r="J40" s="59"/>
      <c r="L40" s="59" t="s">
        <v>13</v>
      </c>
      <c r="M40" s="59"/>
      <c r="N40" s="59"/>
      <c r="O40" s="59"/>
      <c r="Q40" s="59" t="s">
        <v>14</v>
      </c>
      <c r="R40" s="59"/>
      <c r="S40" s="59"/>
      <c r="T40" s="59"/>
      <c r="V40" s="59" t="s">
        <v>15</v>
      </c>
      <c r="W40" s="59"/>
      <c r="X40" s="59"/>
      <c r="Y40" s="59"/>
      <c r="AA40" s="21"/>
      <c r="AB40" s="21"/>
      <c r="AC40" s="21"/>
      <c r="AD40" s="21"/>
      <c r="AE40" s="21"/>
    </row>
    <row r="41" spans="1:31" ht="30.75" thickBot="1">
      <c r="B41" s="28" t="s">
        <v>6</v>
      </c>
      <c r="C41" s="44" t="s">
        <v>7</v>
      </c>
      <c r="D41" s="43" t="s">
        <v>8</v>
      </c>
      <c r="E41" s="43" t="s">
        <v>9</v>
      </c>
      <c r="G41" s="28" t="s">
        <v>6</v>
      </c>
      <c r="H41" s="44" t="s">
        <v>7</v>
      </c>
      <c r="I41" s="43" t="s">
        <v>8</v>
      </c>
      <c r="J41" s="43" t="s">
        <v>9</v>
      </c>
      <c r="L41" s="28" t="s">
        <v>6</v>
      </c>
      <c r="M41" s="44" t="s">
        <v>7</v>
      </c>
      <c r="N41" s="43" t="s">
        <v>8</v>
      </c>
      <c r="O41" s="43" t="s">
        <v>9</v>
      </c>
      <c r="Q41" s="28" t="s">
        <v>6</v>
      </c>
      <c r="R41" s="44" t="s">
        <v>7</v>
      </c>
      <c r="S41" s="43" t="s">
        <v>8</v>
      </c>
      <c r="T41" s="43" t="s">
        <v>9</v>
      </c>
      <c r="V41" s="28" t="s">
        <v>6</v>
      </c>
      <c r="W41" s="44" t="s">
        <v>7</v>
      </c>
      <c r="X41" s="43" t="s">
        <v>8</v>
      </c>
      <c r="Y41" s="43" t="s">
        <v>9</v>
      </c>
    </row>
    <row r="42" spans="1:31">
      <c r="B42" s="9">
        <v>3966</v>
      </c>
      <c r="C42" s="9">
        <v>952</v>
      </c>
      <c r="D42" s="9">
        <v>2202</v>
      </c>
      <c r="E42" s="9">
        <v>4138</v>
      </c>
      <c r="G42" s="9">
        <v>3341</v>
      </c>
      <c r="H42" s="9">
        <v>743</v>
      </c>
      <c r="I42" s="9">
        <v>1170</v>
      </c>
      <c r="J42" s="9">
        <v>3050</v>
      </c>
      <c r="L42" s="9">
        <v>1629</v>
      </c>
      <c r="M42" s="9">
        <v>704</v>
      </c>
      <c r="N42" s="9">
        <v>1085</v>
      </c>
      <c r="O42" s="9">
        <v>2939</v>
      </c>
      <c r="Q42" s="9">
        <v>3570</v>
      </c>
      <c r="R42" s="9">
        <v>1018</v>
      </c>
      <c r="S42" s="9">
        <v>1007</v>
      </c>
      <c r="T42" s="9">
        <v>4101</v>
      </c>
      <c r="V42" s="9">
        <v>2738</v>
      </c>
      <c r="W42" s="9">
        <v>1569</v>
      </c>
      <c r="X42" s="9">
        <v>998</v>
      </c>
      <c r="Y42" s="9">
        <v>2116</v>
      </c>
    </row>
    <row r="43" spans="1:31">
      <c r="B43" s="9">
        <v>4650</v>
      </c>
      <c r="C43" s="9">
        <v>1214</v>
      </c>
      <c r="D43" s="9">
        <v>2052</v>
      </c>
      <c r="E43" s="9">
        <v>3585</v>
      </c>
      <c r="G43" s="9">
        <v>5059</v>
      </c>
      <c r="H43" s="9">
        <v>755</v>
      </c>
      <c r="I43" s="9">
        <v>1182</v>
      </c>
      <c r="J43" s="9">
        <v>2707</v>
      </c>
      <c r="L43" s="9">
        <v>1753</v>
      </c>
      <c r="M43" s="9">
        <v>760</v>
      </c>
      <c r="N43" s="9">
        <v>1070</v>
      </c>
      <c r="O43" s="9">
        <v>2101</v>
      </c>
      <c r="Q43" s="9">
        <v>3096</v>
      </c>
      <c r="R43" s="9">
        <v>1124</v>
      </c>
      <c r="S43" s="9">
        <v>977</v>
      </c>
      <c r="T43" s="9">
        <v>3270</v>
      </c>
      <c r="V43" s="9">
        <v>2331</v>
      </c>
      <c r="W43" s="9">
        <v>1938</v>
      </c>
      <c r="X43" s="9">
        <v>989</v>
      </c>
      <c r="Y43" s="9">
        <v>2500</v>
      </c>
    </row>
    <row r="44" spans="1:31">
      <c r="B44" s="9">
        <v>4747</v>
      </c>
      <c r="C44" s="9">
        <v>947</v>
      </c>
      <c r="D44" s="9">
        <v>2104</v>
      </c>
      <c r="E44" s="9">
        <v>4944</v>
      </c>
      <c r="G44" s="9">
        <v>6675</v>
      </c>
      <c r="H44" s="9">
        <v>1011</v>
      </c>
      <c r="I44" s="9">
        <v>1211</v>
      </c>
      <c r="J44" s="9">
        <v>3437</v>
      </c>
      <c r="L44" s="9">
        <v>4847</v>
      </c>
      <c r="M44" s="9">
        <v>703</v>
      </c>
      <c r="N44" s="9">
        <v>1052</v>
      </c>
      <c r="O44" s="9">
        <v>2308</v>
      </c>
      <c r="Q44" s="9">
        <v>3127</v>
      </c>
      <c r="R44" s="9">
        <v>1303</v>
      </c>
      <c r="S44" s="9">
        <v>1062</v>
      </c>
      <c r="T44" s="9">
        <v>3516</v>
      </c>
      <c r="V44" s="9">
        <v>2315</v>
      </c>
      <c r="W44" s="9">
        <v>2119</v>
      </c>
      <c r="X44" s="9">
        <v>1075</v>
      </c>
      <c r="Y44" s="9">
        <v>2612</v>
      </c>
    </row>
    <row r="45" spans="1:31">
      <c r="B45" s="9">
        <v>3971</v>
      </c>
      <c r="C45" s="9">
        <v>1018</v>
      </c>
      <c r="D45" s="9">
        <v>2024</v>
      </c>
      <c r="E45" s="9">
        <v>4440</v>
      </c>
      <c r="G45" s="9">
        <v>2877</v>
      </c>
      <c r="H45" s="9">
        <v>676</v>
      </c>
      <c r="I45" s="9">
        <v>1587</v>
      </c>
      <c r="J45" s="9">
        <v>2439</v>
      </c>
      <c r="L45" s="9">
        <v>3060</v>
      </c>
      <c r="M45" s="9">
        <v>709</v>
      </c>
      <c r="N45" s="9">
        <v>1106</v>
      </c>
      <c r="O45" s="9">
        <v>3234</v>
      </c>
      <c r="Q45" s="9">
        <v>3123</v>
      </c>
      <c r="R45" s="9">
        <v>1064</v>
      </c>
      <c r="S45" s="9">
        <v>1039</v>
      </c>
      <c r="T45" s="9">
        <v>4010</v>
      </c>
      <c r="V45" s="9">
        <v>3053</v>
      </c>
      <c r="W45" s="9">
        <v>1388</v>
      </c>
      <c r="X45" s="9">
        <v>924</v>
      </c>
      <c r="Y45" s="9">
        <v>2962</v>
      </c>
    </row>
    <row r="46" spans="1:31">
      <c r="B46" s="9">
        <v>4063</v>
      </c>
      <c r="C46" s="9">
        <v>897</v>
      </c>
      <c r="D46" s="9">
        <v>1957</v>
      </c>
      <c r="E46" s="9">
        <v>4200</v>
      </c>
      <c r="G46" s="9">
        <v>2207</v>
      </c>
      <c r="H46" s="9">
        <v>634</v>
      </c>
      <c r="I46" s="9">
        <v>1448</v>
      </c>
      <c r="J46" s="9">
        <v>3401</v>
      </c>
      <c r="L46" s="9">
        <v>1828</v>
      </c>
      <c r="M46" s="9">
        <v>801</v>
      </c>
      <c r="N46" s="9">
        <v>1061</v>
      </c>
      <c r="O46" s="9">
        <v>2232</v>
      </c>
      <c r="Q46" s="9">
        <v>2811</v>
      </c>
      <c r="R46" s="9">
        <v>1388</v>
      </c>
      <c r="S46" s="9">
        <v>942</v>
      </c>
      <c r="T46" s="9">
        <v>4859</v>
      </c>
      <c r="V46" s="9">
        <v>2953</v>
      </c>
      <c r="W46" s="9">
        <v>3930</v>
      </c>
      <c r="X46" s="9">
        <v>1475</v>
      </c>
      <c r="Y46" s="9">
        <v>2504</v>
      </c>
    </row>
    <row r="47" spans="1:31">
      <c r="B47" s="9">
        <v>3975</v>
      </c>
      <c r="C47" s="9">
        <v>1071</v>
      </c>
      <c r="D47" s="9">
        <v>2033</v>
      </c>
      <c r="E47" s="9">
        <v>5106</v>
      </c>
      <c r="G47" s="9">
        <v>2229</v>
      </c>
      <c r="H47" s="9">
        <v>818</v>
      </c>
      <c r="I47" s="9">
        <v>1345</v>
      </c>
      <c r="J47" s="9">
        <v>2791</v>
      </c>
      <c r="L47" s="9">
        <v>2421</v>
      </c>
      <c r="M47" s="9">
        <v>792</v>
      </c>
      <c r="N47" s="9">
        <v>1053</v>
      </c>
      <c r="O47" s="9">
        <v>2773</v>
      </c>
      <c r="Q47" s="9">
        <v>2081</v>
      </c>
      <c r="R47" s="9">
        <v>1132</v>
      </c>
      <c r="S47" s="9">
        <v>1001</v>
      </c>
      <c r="T47" s="9">
        <v>2945</v>
      </c>
      <c r="V47" s="9">
        <v>2499</v>
      </c>
      <c r="W47" s="9">
        <v>2196</v>
      </c>
      <c r="X47" s="9">
        <v>1058</v>
      </c>
      <c r="Y47" s="9">
        <v>3007</v>
      </c>
    </row>
    <row r="48" spans="1:31">
      <c r="B48" s="9">
        <v>4929</v>
      </c>
      <c r="C48" s="9">
        <v>881</v>
      </c>
      <c r="D48" s="9">
        <v>2002</v>
      </c>
      <c r="E48" s="9">
        <v>3999</v>
      </c>
      <c r="G48" s="9">
        <v>2323</v>
      </c>
      <c r="H48" s="9">
        <v>760</v>
      </c>
      <c r="I48" s="9">
        <v>1704</v>
      </c>
      <c r="J48" s="9">
        <v>3111</v>
      </c>
      <c r="L48" s="9">
        <v>2366</v>
      </c>
      <c r="M48" s="9">
        <v>663</v>
      </c>
      <c r="N48" s="9">
        <v>981</v>
      </c>
      <c r="O48" s="9">
        <v>2451</v>
      </c>
      <c r="Q48" s="9">
        <v>2798</v>
      </c>
      <c r="R48" s="9">
        <v>15591</v>
      </c>
      <c r="S48" s="9">
        <v>970</v>
      </c>
      <c r="T48" s="9">
        <v>2873</v>
      </c>
      <c r="V48" s="9">
        <v>2086</v>
      </c>
      <c r="W48" s="9">
        <v>2749</v>
      </c>
      <c r="X48" s="9">
        <v>973</v>
      </c>
      <c r="Y48" s="9">
        <v>3166</v>
      </c>
    </row>
    <row r="49" spans="2:25">
      <c r="B49" s="9">
        <v>4270</v>
      </c>
      <c r="C49" s="9">
        <v>904</v>
      </c>
      <c r="D49" s="9">
        <v>2004</v>
      </c>
      <c r="E49" s="9">
        <v>4393</v>
      </c>
      <c r="G49" s="9">
        <v>2219</v>
      </c>
      <c r="H49" s="9">
        <v>765</v>
      </c>
      <c r="I49" s="9">
        <v>1578</v>
      </c>
      <c r="J49" s="9">
        <v>4537</v>
      </c>
      <c r="L49" s="9">
        <v>2046</v>
      </c>
      <c r="M49" s="9">
        <v>850</v>
      </c>
      <c r="N49" s="9">
        <v>1045</v>
      </c>
      <c r="O49" s="9">
        <v>2678</v>
      </c>
      <c r="Q49" s="9">
        <v>2296</v>
      </c>
      <c r="R49" s="9">
        <v>1040</v>
      </c>
      <c r="S49" s="9">
        <v>1109</v>
      </c>
      <c r="T49" s="9">
        <v>3348</v>
      </c>
      <c r="V49" s="9">
        <v>2345</v>
      </c>
      <c r="W49" s="9">
        <v>1874</v>
      </c>
      <c r="X49" s="9">
        <v>1140</v>
      </c>
      <c r="Y49" s="9">
        <v>2593</v>
      </c>
    </row>
    <row r="50" spans="2:25">
      <c r="B50" s="9">
        <v>4231</v>
      </c>
      <c r="C50" s="9">
        <v>925</v>
      </c>
      <c r="D50" s="9">
        <v>2058</v>
      </c>
      <c r="E50" s="9">
        <v>5247</v>
      </c>
      <c r="G50" s="9">
        <v>2267</v>
      </c>
      <c r="H50" s="9">
        <v>1541</v>
      </c>
      <c r="I50" s="9">
        <v>1206</v>
      </c>
      <c r="J50" s="9">
        <v>3758</v>
      </c>
      <c r="L50" s="9">
        <v>2312</v>
      </c>
      <c r="M50" s="9">
        <v>734</v>
      </c>
      <c r="N50" s="9">
        <v>1030</v>
      </c>
      <c r="O50" s="9">
        <v>1835</v>
      </c>
      <c r="Q50" s="9">
        <v>2659</v>
      </c>
      <c r="R50" s="9">
        <v>879</v>
      </c>
      <c r="S50" s="9">
        <v>1062</v>
      </c>
      <c r="T50" s="9">
        <v>2644</v>
      </c>
      <c r="V50" s="9">
        <v>2378</v>
      </c>
      <c r="W50" s="9">
        <v>2633</v>
      </c>
      <c r="X50" s="9">
        <v>1141</v>
      </c>
      <c r="Y50" s="9">
        <v>2197</v>
      </c>
    </row>
    <row r="51" spans="2:25">
      <c r="B51" s="9">
        <v>4399</v>
      </c>
      <c r="C51" s="9">
        <v>967</v>
      </c>
      <c r="D51" s="9">
        <v>1955</v>
      </c>
      <c r="E51" s="9">
        <v>3782</v>
      </c>
      <c r="G51" s="9">
        <v>6106</v>
      </c>
      <c r="H51" s="9">
        <v>1213</v>
      </c>
      <c r="I51" s="9">
        <v>1174</v>
      </c>
      <c r="J51" s="9">
        <v>3545</v>
      </c>
      <c r="L51" s="9">
        <v>2662</v>
      </c>
      <c r="M51" s="9">
        <v>718</v>
      </c>
      <c r="N51" s="9">
        <v>1064</v>
      </c>
      <c r="O51" s="9">
        <v>2771</v>
      </c>
      <c r="Q51" s="9">
        <v>2493</v>
      </c>
      <c r="R51" s="9">
        <v>953</v>
      </c>
      <c r="S51" s="9">
        <v>1426</v>
      </c>
      <c r="T51" s="9">
        <v>2346</v>
      </c>
      <c r="V51" s="9">
        <v>2514</v>
      </c>
      <c r="W51" s="9">
        <v>3704</v>
      </c>
      <c r="X51" s="9">
        <v>1208</v>
      </c>
      <c r="Y51" s="9">
        <v>2671</v>
      </c>
    </row>
    <row r="52" spans="2:25">
      <c r="B52" s="9">
        <v>10223</v>
      </c>
      <c r="C52" s="9">
        <v>947</v>
      </c>
      <c r="D52" s="9">
        <v>1987</v>
      </c>
      <c r="E52" s="9">
        <v>4718</v>
      </c>
      <c r="G52" s="9">
        <v>3463</v>
      </c>
      <c r="H52" s="9">
        <v>767</v>
      </c>
      <c r="I52" s="9">
        <v>1393</v>
      </c>
      <c r="J52" s="9">
        <v>2530</v>
      </c>
      <c r="L52" s="9">
        <v>2846</v>
      </c>
      <c r="M52" s="9">
        <v>836</v>
      </c>
      <c r="N52" s="9">
        <v>1121</v>
      </c>
      <c r="O52" s="9">
        <v>1791</v>
      </c>
      <c r="Q52" s="9">
        <v>3257</v>
      </c>
      <c r="R52" s="9">
        <v>886</v>
      </c>
      <c r="S52" s="9">
        <v>1049</v>
      </c>
      <c r="T52" s="9">
        <v>2482</v>
      </c>
      <c r="V52" s="9">
        <v>2987</v>
      </c>
      <c r="W52" s="9">
        <v>1505</v>
      </c>
      <c r="X52" s="9">
        <v>978</v>
      </c>
      <c r="Y52" s="9">
        <v>2712</v>
      </c>
    </row>
    <row r="53" spans="2:25">
      <c r="B53" s="9">
        <v>10281</v>
      </c>
      <c r="C53" s="9">
        <v>937</v>
      </c>
      <c r="D53" s="9">
        <v>2086</v>
      </c>
      <c r="E53" s="9">
        <v>4637</v>
      </c>
      <c r="G53" s="9">
        <v>3757</v>
      </c>
      <c r="H53" s="9">
        <v>858</v>
      </c>
      <c r="I53" s="9">
        <v>1234</v>
      </c>
      <c r="J53" s="9">
        <v>2336</v>
      </c>
      <c r="L53" s="9">
        <v>3167</v>
      </c>
      <c r="M53" s="9">
        <v>830</v>
      </c>
      <c r="N53" s="9">
        <v>1160</v>
      </c>
      <c r="O53" s="9">
        <v>2804</v>
      </c>
      <c r="Q53" s="9">
        <v>2533</v>
      </c>
      <c r="R53" s="9">
        <v>1003</v>
      </c>
      <c r="S53" s="9">
        <v>989</v>
      </c>
      <c r="T53" s="9">
        <v>2926</v>
      </c>
      <c r="V53" s="9">
        <v>2787</v>
      </c>
      <c r="W53" s="9">
        <v>1643</v>
      </c>
      <c r="X53" s="9">
        <v>1256</v>
      </c>
      <c r="Y53" s="9">
        <v>2342</v>
      </c>
    </row>
    <row r="54" spans="2:25">
      <c r="B54" s="9">
        <v>4268</v>
      </c>
      <c r="C54" s="9">
        <v>904</v>
      </c>
      <c r="D54" s="9">
        <v>1959</v>
      </c>
      <c r="E54" s="9">
        <v>4846</v>
      </c>
      <c r="G54" s="9">
        <v>2662</v>
      </c>
      <c r="H54" s="9">
        <v>1077</v>
      </c>
      <c r="I54" s="9">
        <v>1184</v>
      </c>
      <c r="J54" s="9">
        <v>3033</v>
      </c>
      <c r="L54" s="9">
        <v>2554</v>
      </c>
      <c r="M54" s="9">
        <v>738</v>
      </c>
      <c r="N54" s="9">
        <v>1016</v>
      </c>
      <c r="O54" s="9">
        <v>2462</v>
      </c>
      <c r="Q54" s="9">
        <v>2753</v>
      </c>
      <c r="R54" s="9">
        <v>1254</v>
      </c>
      <c r="S54" s="9">
        <v>928</v>
      </c>
      <c r="T54" s="9">
        <v>2130</v>
      </c>
      <c r="V54" s="9">
        <v>2208</v>
      </c>
      <c r="W54" s="9">
        <v>2629</v>
      </c>
      <c r="X54" s="9">
        <v>1119</v>
      </c>
      <c r="Y54" s="9">
        <v>2584</v>
      </c>
    </row>
    <row r="55" spans="2:25">
      <c r="B55" s="9">
        <v>4124</v>
      </c>
      <c r="C55" s="9">
        <v>929</v>
      </c>
      <c r="D55" s="9">
        <v>2059</v>
      </c>
      <c r="E55" s="9">
        <v>5420</v>
      </c>
      <c r="G55" s="9">
        <v>2270</v>
      </c>
      <c r="H55" s="9">
        <v>2592</v>
      </c>
      <c r="I55" s="9">
        <v>1364</v>
      </c>
      <c r="J55" s="9">
        <v>2986</v>
      </c>
      <c r="L55" s="9">
        <v>1509</v>
      </c>
      <c r="M55" s="9">
        <v>824</v>
      </c>
      <c r="N55" s="9">
        <v>1008</v>
      </c>
      <c r="O55" s="9">
        <v>2518</v>
      </c>
      <c r="Q55" s="9">
        <v>3202</v>
      </c>
      <c r="R55" s="9">
        <v>990</v>
      </c>
      <c r="S55" s="9">
        <v>1274</v>
      </c>
      <c r="T55" s="9">
        <v>2422</v>
      </c>
      <c r="V55" s="9">
        <v>2319</v>
      </c>
      <c r="W55" s="9">
        <v>1566</v>
      </c>
      <c r="X55" s="9">
        <v>1045</v>
      </c>
      <c r="Y55" s="9">
        <v>2759</v>
      </c>
    </row>
    <row r="56" spans="2:25">
      <c r="B56" s="9">
        <v>8971</v>
      </c>
      <c r="C56" s="9">
        <v>939</v>
      </c>
      <c r="D56" s="9">
        <v>2341</v>
      </c>
      <c r="E56" s="9">
        <v>5198</v>
      </c>
      <c r="G56" s="9">
        <v>3750</v>
      </c>
      <c r="H56" s="9">
        <v>1735</v>
      </c>
      <c r="I56" s="9">
        <v>1172</v>
      </c>
      <c r="J56" s="9">
        <v>2390</v>
      </c>
      <c r="L56" s="9">
        <v>1599</v>
      </c>
      <c r="M56" s="9">
        <v>748</v>
      </c>
      <c r="N56" s="9">
        <v>1061</v>
      </c>
      <c r="O56" s="9">
        <v>3075</v>
      </c>
      <c r="Q56" s="9">
        <v>2670</v>
      </c>
      <c r="R56" s="9">
        <v>1029</v>
      </c>
      <c r="S56" s="9">
        <v>965</v>
      </c>
      <c r="T56" s="9">
        <v>2807</v>
      </c>
      <c r="V56" s="9">
        <v>2426</v>
      </c>
      <c r="W56" s="9">
        <v>1326</v>
      </c>
      <c r="X56" s="9">
        <v>1236</v>
      </c>
      <c r="Y56" s="9">
        <v>2305</v>
      </c>
    </row>
    <row r="57" spans="2:25">
      <c r="B57" s="9">
        <v>8111</v>
      </c>
      <c r="C57" s="9">
        <v>1018</v>
      </c>
      <c r="D57" s="9">
        <v>2079</v>
      </c>
      <c r="E57" s="9">
        <v>3830</v>
      </c>
      <c r="G57" s="9">
        <v>2195</v>
      </c>
      <c r="H57" s="9">
        <v>934</v>
      </c>
      <c r="I57" s="9">
        <v>1168</v>
      </c>
      <c r="J57" s="9">
        <v>2931</v>
      </c>
      <c r="L57" s="9">
        <v>3300</v>
      </c>
      <c r="M57" s="9">
        <v>743</v>
      </c>
      <c r="N57" s="9">
        <v>1057</v>
      </c>
      <c r="O57" s="9">
        <v>2836</v>
      </c>
      <c r="Q57" s="9">
        <v>2298</v>
      </c>
      <c r="R57" s="9">
        <v>921</v>
      </c>
      <c r="S57" s="9">
        <v>913</v>
      </c>
      <c r="T57" s="9">
        <v>2578</v>
      </c>
      <c r="V57" s="9">
        <v>2230</v>
      </c>
      <c r="W57" s="9">
        <v>1270</v>
      </c>
      <c r="X57" s="9">
        <v>949</v>
      </c>
      <c r="Y57" s="9">
        <v>2458</v>
      </c>
    </row>
    <row r="58" spans="2:25">
      <c r="B58" s="9">
        <v>4459</v>
      </c>
      <c r="C58" s="9">
        <v>893</v>
      </c>
      <c r="D58" s="9">
        <v>1990</v>
      </c>
      <c r="E58" s="9">
        <v>4112</v>
      </c>
      <c r="G58" s="9">
        <v>2386</v>
      </c>
      <c r="H58" s="9">
        <v>787</v>
      </c>
      <c r="I58" s="9">
        <v>1163</v>
      </c>
      <c r="J58" s="9">
        <v>2833</v>
      </c>
      <c r="L58" s="9">
        <v>2611</v>
      </c>
      <c r="M58" s="9">
        <v>726</v>
      </c>
      <c r="N58" s="9">
        <v>1054</v>
      </c>
      <c r="O58" s="9">
        <v>2840</v>
      </c>
      <c r="Q58" s="9">
        <v>3182</v>
      </c>
      <c r="R58" s="9">
        <v>916</v>
      </c>
      <c r="S58" s="9">
        <v>1039</v>
      </c>
      <c r="T58" s="9">
        <v>2443</v>
      </c>
      <c r="V58" s="9">
        <v>2391</v>
      </c>
      <c r="W58" s="9">
        <v>1707</v>
      </c>
      <c r="X58" s="9">
        <v>1296</v>
      </c>
      <c r="Y58" s="9">
        <v>3406</v>
      </c>
    </row>
    <row r="59" spans="2:25">
      <c r="B59" s="9">
        <v>9486</v>
      </c>
      <c r="C59" s="9">
        <v>937</v>
      </c>
      <c r="D59" s="9">
        <v>1964</v>
      </c>
      <c r="E59" s="9">
        <v>4713</v>
      </c>
      <c r="G59" s="9">
        <v>2184</v>
      </c>
      <c r="H59" s="9">
        <v>778</v>
      </c>
      <c r="I59" s="9">
        <v>1250</v>
      </c>
      <c r="J59" s="9">
        <v>3473</v>
      </c>
      <c r="L59" s="9">
        <v>2495</v>
      </c>
      <c r="M59" s="9">
        <v>852</v>
      </c>
      <c r="N59" s="9">
        <v>1053</v>
      </c>
      <c r="O59" s="9">
        <v>2247</v>
      </c>
      <c r="Q59" s="9">
        <v>4288</v>
      </c>
      <c r="R59" s="9">
        <v>947</v>
      </c>
      <c r="S59" s="9">
        <v>1071</v>
      </c>
      <c r="T59" s="9">
        <v>3516</v>
      </c>
      <c r="V59" s="9">
        <v>2387</v>
      </c>
      <c r="W59" s="9">
        <v>2394</v>
      </c>
      <c r="X59" s="9">
        <v>941</v>
      </c>
      <c r="Y59" s="9">
        <v>2277</v>
      </c>
    </row>
    <row r="60" spans="2:25">
      <c r="B60" s="9">
        <v>8840</v>
      </c>
      <c r="C60" s="9">
        <v>895</v>
      </c>
      <c r="D60" s="9">
        <v>2030</v>
      </c>
      <c r="E60" s="9">
        <v>4106</v>
      </c>
      <c r="G60" s="9">
        <v>2205</v>
      </c>
      <c r="H60" s="9">
        <v>706</v>
      </c>
      <c r="I60" s="9">
        <v>1171</v>
      </c>
      <c r="J60" s="9">
        <v>2261</v>
      </c>
      <c r="L60" s="9">
        <v>1914</v>
      </c>
      <c r="M60" s="9">
        <v>833</v>
      </c>
      <c r="N60" s="9">
        <v>1110</v>
      </c>
      <c r="O60" s="9">
        <v>2738</v>
      </c>
      <c r="Q60" s="9">
        <v>2521</v>
      </c>
      <c r="R60" s="9">
        <v>853</v>
      </c>
      <c r="S60" s="9">
        <v>1036</v>
      </c>
      <c r="T60" s="9">
        <v>2431</v>
      </c>
      <c r="V60" s="9">
        <v>2397</v>
      </c>
      <c r="W60" s="9">
        <v>2604</v>
      </c>
      <c r="X60" s="9">
        <v>1346</v>
      </c>
      <c r="Y60" s="9">
        <v>2755</v>
      </c>
    </row>
    <row r="61" spans="2:25">
      <c r="B61" s="9">
        <v>10203</v>
      </c>
      <c r="C61" s="9">
        <v>1068</v>
      </c>
      <c r="D61" s="9">
        <v>2050</v>
      </c>
      <c r="E61" s="9">
        <v>4722</v>
      </c>
      <c r="G61" s="9">
        <v>2138</v>
      </c>
      <c r="H61" s="9">
        <v>720</v>
      </c>
      <c r="I61" s="9">
        <v>1219</v>
      </c>
      <c r="J61" s="9">
        <v>3347</v>
      </c>
      <c r="L61" s="9">
        <v>3838</v>
      </c>
      <c r="M61" s="9">
        <v>899</v>
      </c>
      <c r="N61" s="9">
        <v>1095</v>
      </c>
      <c r="O61" s="9">
        <v>2454</v>
      </c>
      <c r="Q61" s="9">
        <v>2918</v>
      </c>
      <c r="R61" s="9">
        <v>1012</v>
      </c>
      <c r="S61" s="9">
        <v>959</v>
      </c>
      <c r="T61" s="9">
        <v>2316</v>
      </c>
      <c r="V61" s="9">
        <v>2501</v>
      </c>
      <c r="W61" s="9">
        <v>3632</v>
      </c>
      <c r="X61" s="9">
        <v>927</v>
      </c>
      <c r="Y61" s="9">
        <v>2800</v>
      </c>
    </row>
    <row r="62" spans="2:25">
      <c r="B62" s="9">
        <v>10227</v>
      </c>
      <c r="C62" s="9">
        <v>898</v>
      </c>
      <c r="D62" s="9">
        <v>2037</v>
      </c>
      <c r="E62" s="9">
        <v>4955</v>
      </c>
      <c r="G62" s="9">
        <v>2491</v>
      </c>
      <c r="H62" s="9">
        <v>660</v>
      </c>
      <c r="I62" s="9">
        <v>1187</v>
      </c>
      <c r="J62" s="9">
        <v>3262</v>
      </c>
      <c r="L62" s="9">
        <v>3101</v>
      </c>
      <c r="M62" s="9">
        <v>632</v>
      </c>
      <c r="N62" s="9">
        <v>917</v>
      </c>
      <c r="O62" s="9">
        <v>2651</v>
      </c>
      <c r="Q62" s="9">
        <v>2367</v>
      </c>
      <c r="R62" s="9">
        <v>1067</v>
      </c>
      <c r="S62" s="9">
        <v>930</v>
      </c>
      <c r="T62" s="9">
        <v>2467</v>
      </c>
      <c r="V62" s="9">
        <v>2451</v>
      </c>
      <c r="W62" s="9">
        <v>5401</v>
      </c>
      <c r="X62" s="9">
        <v>1254</v>
      </c>
      <c r="Y62" s="9">
        <v>2542</v>
      </c>
    </row>
    <row r="63" spans="2:25">
      <c r="B63" s="9">
        <v>7974</v>
      </c>
      <c r="C63" s="9">
        <v>944</v>
      </c>
      <c r="D63" s="9">
        <v>2038</v>
      </c>
      <c r="E63" s="9">
        <v>5015</v>
      </c>
      <c r="G63" s="9">
        <v>3913</v>
      </c>
      <c r="H63" s="9">
        <v>657</v>
      </c>
      <c r="I63" s="9">
        <v>1229</v>
      </c>
      <c r="J63" s="9">
        <v>3525</v>
      </c>
      <c r="L63" s="9">
        <v>2242</v>
      </c>
      <c r="M63" s="9">
        <v>705</v>
      </c>
      <c r="N63" s="9">
        <v>1061</v>
      </c>
      <c r="O63" s="9">
        <v>3058</v>
      </c>
      <c r="Q63" s="9">
        <v>1903</v>
      </c>
      <c r="R63" s="9">
        <v>1082</v>
      </c>
      <c r="S63" s="9">
        <v>1384</v>
      </c>
      <c r="T63" s="9">
        <v>2730</v>
      </c>
      <c r="V63" s="9">
        <v>2730</v>
      </c>
      <c r="W63" s="9">
        <v>4459</v>
      </c>
      <c r="X63" s="9">
        <v>961</v>
      </c>
      <c r="Y63" s="9">
        <v>2365</v>
      </c>
    </row>
    <row r="64" spans="2:25">
      <c r="B64" s="9">
        <v>4702</v>
      </c>
      <c r="C64" s="9">
        <v>1073</v>
      </c>
      <c r="D64" s="9">
        <v>1988</v>
      </c>
      <c r="E64" s="9">
        <v>3522</v>
      </c>
      <c r="G64" s="9">
        <v>5628</v>
      </c>
      <c r="H64" s="9">
        <v>739</v>
      </c>
      <c r="I64" s="9">
        <v>1185</v>
      </c>
      <c r="J64" s="9">
        <v>2926</v>
      </c>
      <c r="L64" s="9">
        <v>2359</v>
      </c>
      <c r="M64" s="9">
        <v>1147</v>
      </c>
      <c r="N64" s="9">
        <v>1150</v>
      </c>
      <c r="O64" s="9">
        <v>2884</v>
      </c>
      <c r="Q64" s="9">
        <v>2100</v>
      </c>
      <c r="R64" s="9">
        <v>1041</v>
      </c>
      <c r="S64" s="9">
        <v>964</v>
      </c>
      <c r="T64" s="9">
        <v>2357</v>
      </c>
      <c r="V64" s="9">
        <v>2259</v>
      </c>
      <c r="W64" s="9">
        <v>2715</v>
      </c>
      <c r="X64" s="9">
        <v>1344</v>
      </c>
      <c r="Y64" s="9">
        <v>2835</v>
      </c>
    </row>
    <row r="65" spans="1:31">
      <c r="B65" s="9">
        <v>5283</v>
      </c>
      <c r="C65" s="9">
        <v>940</v>
      </c>
      <c r="D65" s="9">
        <v>2032</v>
      </c>
      <c r="E65" s="9">
        <v>5168</v>
      </c>
      <c r="G65" s="9">
        <v>3422</v>
      </c>
      <c r="H65" s="9">
        <v>669</v>
      </c>
      <c r="I65" s="9">
        <v>1216</v>
      </c>
      <c r="J65" s="9">
        <v>2761</v>
      </c>
      <c r="L65" s="9">
        <v>1550</v>
      </c>
      <c r="M65" s="9">
        <v>859</v>
      </c>
      <c r="N65" s="9">
        <v>1171</v>
      </c>
      <c r="O65" s="9">
        <v>2295</v>
      </c>
      <c r="Q65" s="9">
        <v>2749</v>
      </c>
      <c r="R65" s="9">
        <v>1108</v>
      </c>
      <c r="S65" s="9">
        <v>1068</v>
      </c>
      <c r="T65" s="9">
        <v>3165</v>
      </c>
      <c r="V65" s="9">
        <v>2365</v>
      </c>
      <c r="W65" s="9">
        <v>1466</v>
      </c>
      <c r="X65" s="9">
        <v>1524</v>
      </c>
      <c r="Y65" s="9">
        <v>2210</v>
      </c>
    </row>
    <row r="66" spans="1:31">
      <c r="B66" s="9">
        <v>4254</v>
      </c>
      <c r="C66" s="9">
        <v>1020</v>
      </c>
      <c r="D66" s="9">
        <v>1959</v>
      </c>
      <c r="E66" s="9">
        <v>4805</v>
      </c>
      <c r="G66" s="9">
        <v>2307</v>
      </c>
      <c r="H66" s="9">
        <v>645</v>
      </c>
      <c r="I66" s="9">
        <v>1227</v>
      </c>
      <c r="J66" s="9">
        <v>2926</v>
      </c>
      <c r="L66" s="9">
        <v>2189</v>
      </c>
      <c r="M66" s="9">
        <v>713</v>
      </c>
      <c r="N66" s="9">
        <v>1059</v>
      </c>
      <c r="O66" s="9">
        <v>2889</v>
      </c>
      <c r="Q66" s="9">
        <v>3178</v>
      </c>
      <c r="R66" s="9">
        <v>1376</v>
      </c>
      <c r="S66" s="9">
        <v>956</v>
      </c>
      <c r="T66" s="9">
        <v>2931</v>
      </c>
      <c r="V66" s="9">
        <v>2096</v>
      </c>
      <c r="W66" s="9">
        <v>1573</v>
      </c>
      <c r="X66" s="9">
        <v>1418</v>
      </c>
      <c r="Y66" s="9">
        <v>2733</v>
      </c>
    </row>
    <row r="67" spans="1:31">
      <c r="B67" s="9">
        <v>4160</v>
      </c>
      <c r="C67" s="9">
        <v>1003</v>
      </c>
      <c r="D67" s="9">
        <v>2056</v>
      </c>
      <c r="E67" s="9">
        <v>4530</v>
      </c>
      <c r="G67" s="9">
        <v>5380</v>
      </c>
      <c r="H67" s="9">
        <v>654</v>
      </c>
      <c r="I67" s="9">
        <v>1176</v>
      </c>
      <c r="J67" s="9">
        <v>2497</v>
      </c>
      <c r="L67" s="9">
        <v>1455</v>
      </c>
      <c r="M67" s="9">
        <v>729</v>
      </c>
      <c r="N67" s="9">
        <v>1133</v>
      </c>
      <c r="O67" s="9">
        <v>3319</v>
      </c>
      <c r="Q67" s="9">
        <v>2107</v>
      </c>
      <c r="R67" s="9">
        <v>16607</v>
      </c>
      <c r="S67" s="9">
        <v>958</v>
      </c>
      <c r="T67" s="9">
        <v>3322</v>
      </c>
      <c r="V67" s="9">
        <v>2116</v>
      </c>
      <c r="W67" s="9">
        <v>1737</v>
      </c>
      <c r="X67" s="9">
        <v>1431</v>
      </c>
      <c r="Y67" s="9">
        <v>2585</v>
      </c>
    </row>
    <row r="68" spans="1:31">
      <c r="B68" s="9">
        <v>4370</v>
      </c>
      <c r="C68" s="9">
        <v>1115</v>
      </c>
      <c r="D68" s="9">
        <v>2020</v>
      </c>
      <c r="E68" s="9">
        <v>3590</v>
      </c>
      <c r="G68" s="9">
        <v>3272</v>
      </c>
      <c r="H68" s="9">
        <v>601</v>
      </c>
      <c r="I68" s="9">
        <v>1192</v>
      </c>
      <c r="J68" s="9">
        <v>3088</v>
      </c>
      <c r="L68" s="9">
        <v>1670</v>
      </c>
      <c r="M68" s="9">
        <v>651</v>
      </c>
      <c r="N68" s="9">
        <v>987</v>
      </c>
      <c r="O68" s="9">
        <v>2973</v>
      </c>
      <c r="Q68" s="9">
        <v>2620</v>
      </c>
      <c r="R68" s="9">
        <v>1635</v>
      </c>
      <c r="S68" s="9">
        <v>958</v>
      </c>
      <c r="T68" s="9">
        <v>1938</v>
      </c>
      <c r="V68" s="9">
        <v>2336</v>
      </c>
      <c r="W68" s="9">
        <v>4561</v>
      </c>
      <c r="X68" s="9">
        <v>1126</v>
      </c>
      <c r="Y68" s="9">
        <v>2603</v>
      </c>
    </row>
    <row r="69" spans="1:31">
      <c r="B69" s="9">
        <v>4659</v>
      </c>
      <c r="C69" s="9">
        <v>1056</v>
      </c>
      <c r="D69" s="9">
        <v>1975</v>
      </c>
      <c r="E69" s="9">
        <v>4073</v>
      </c>
      <c r="G69" s="9">
        <v>3627</v>
      </c>
      <c r="H69" s="9">
        <v>654</v>
      </c>
      <c r="I69" s="9">
        <v>1185</v>
      </c>
      <c r="J69" s="9">
        <v>3614</v>
      </c>
      <c r="L69" s="9">
        <v>1564</v>
      </c>
      <c r="M69" s="9">
        <v>639</v>
      </c>
      <c r="N69" s="9">
        <v>989</v>
      </c>
      <c r="O69" s="9">
        <v>3060</v>
      </c>
      <c r="Q69" s="9">
        <v>2252</v>
      </c>
      <c r="R69" s="9">
        <v>1282</v>
      </c>
      <c r="S69" s="9">
        <v>1007</v>
      </c>
      <c r="T69" s="9">
        <v>2527</v>
      </c>
      <c r="V69" s="9">
        <v>2333</v>
      </c>
      <c r="W69" s="9">
        <v>2688</v>
      </c>
      <c r="X69" s="9">
        <v>910</v>
      </c>
      <c r="Y69" s="9">
        <v>2400</v>
      </c>
    </row>
    <row r="70" spans="1:31">
      <c r="B70" s="9">
        <v>4230</v>
      </c>
      <c r="C70" s="9">
        <v>1037</v>
      </c>
      <c r="D70" s="9">
        <v>2013</v>
      </c>
      <c r="E70" s="9">
        <v>4786</v>
      </c>
      <c r="G70" s="9">
        <v>5416</v>
      </c>
      <c r="H70" s="9">
        <v>639</v>
      </c>
      <c r="I70" s="9">
        <v>1178</v>
      </c>
      <c r="J70" s="9">
        <v>2854</v>
      </c>
      <c r="L70" s="9">
        <v>2120</v>
      </c>
      <c r="M70" s="9">
        <v>832</v>
      </c>
      <c r="N70" s="9">
        <v>931</v>
      </c>
      <c r="O70" s="9">
        <v>2938</v>
      </c>
      <c r="Q70" s="9">
        <v>2690</v>
      </c>
      <c r="R70" s="9">
        <v>1029</v>
      </c>
      <c r="S70" s="9">
        <v>972</v>
      </c>
      <c r="T70" s="9">
        <v>2714</v>
      </c>
      <c r="V70" s="9">
        <v>2380</v>
      </c>
      <c r="W70" s="9">
        <v>3764</v>
      </c>
      <c r="X70" s="9">
        <v>1449</v>
      </c>
      <c r="Y70" s="9">
        <v>2945</v>
      </c>
    </row>
    <row r="71" spans="1:31">
      <c r="B71" s="13">
        <v>4013</v>
      </c>
      <c r="C71" s="13">
        <v>923</v>
      </c>
      <c r="D71" s="13">
        <v>1958</v>
      </c>
      <c r="E71" s="13">
        <v>4291</v>
      </c>
      <c r="G71" s="9">
        <v>3174</v>
      </c>
      <c r="H71" s="9">
        <v>648</v>
      </c>
      <c r="I71" s="9">
        <v>1122</v>
      </c>
      <c r="J71" s="9">
        <v>3297</v>
      </c>
      <c r="L71" s="9">
        <v>1517</v>
      </c>
      <c r="M71" s="9">
        <v>733</v>
      </c>
      <c r="N71" s="9">
        <v>986</v>
      </c>
      <c r="O71" s="9">
        <v>3045</v>
      </c>
      <c r="Q71" s="9">
        <v>2662</v>
      </c>
      <c r="R71" s="9">
        <v>1138</v>
      </c>
      <c r="S71" s="9">
        <v>941</v>
      </c>
      <c r="T71" s="9">
        <v>2335</v>
      </c>
      <c r="V71" s="9">
        <v>2840</v>
      </c>
      <c r="W71" s="9">
        <v>2345</v>
      </c>
      <c r="X71" s="9">
        <v>1122</v>
      </c>
      <c r="Y71" s="9">
        <v>2680</v>
      </c>
    </row>
    <row r="72" spans="1:31">
      <c r="A72" s="10" t="s">
        <v>10</v>
      </c>
      <c r="B72" s="11">
        <f>AVERAGE(B42:B71)</f>
        <v>5867.9666666666662</v>
      </c>
      <c r="C72" s="11">
        <f t="shared" ref="C72:E72" si="0">AVERAGE(C42:C71)</f>
        <v>975.06666666666672</v>
      </c>
      <c r="D72" s="11">
        <f t="shared" si="0"/>
        <v>2033.7333333333333</v>
      </c>
      <c r="E72" s="11">
        <f t="shared" si="0"/>
        <v>4495.7</v>
      </c>
      <c r="F72" s="12"/>
      <c r="G72" s="11">
        <f>AVERAGE(G42:G71)</f>
        <v>3364.7666666666669</v>
      </c>
      <c r="H72" s="11">
        <f t="shared" ref="H72:J72" si="1">AVERAGE(H42:H71)</f>
        <v>881.2</v>
      </c>
      <c r="I72" s="11">
        <f t="shared" si="1"/>
        <v>1260.6666666666667</v>
      </c>
      <c r="J72" s="11">
        <f t="shared" si="1"/>
        <v>3054.8666666666668</v>
      </c>
      <c r="K72" s="12"/>
      <c r="L72" s="11">
        <f>AVERAGE(L42:L71)</f>
        <v>2350.8000000000002</v>
      </c>
      <c r="M72" s="11">
        <f t="shared" ref="M72:O72" si="2">AVERAGE(M42:M71)</f>
        <v>770.1</v>
      </c>
      <c r="N72" s="11">
        <f t="shared" si="2"/>
        <v>1055.5333333333333</v>
      </c>
      <c r="O72" s="11">
        <f t="shared" si="2"/>
        <v>2673.3</v>
      </c>
      <c r="P72" s="12"/>
      <c r="Q72" s="11">
        <f>AVERAGE(Q42:Q71)</f>
        <v>2743.4666666666667</v>
      </c>
      <c r="R72" s="11">
        <f t="shared" ref="R72:T72" si="3">AVERAGE(R42:R71)</f>
        <v>2088.9333333333334</v>
      </c>
      <c r="S72" s="11">
        <f t="shared" si="3"/>
        <v>1031.8666666666666</v>
      </c>
      <c r="T72" s="11">
        <f t="shared" si="3"/>
        <v>2881.6333333333332</v>
      </c>
      <c r="U72" s="12"/>
      <c r="V72" s="11">
        <f>AVERAGE(V42:V71)</f>
        <v>2458.3666666666668</v>
      </c>
      <c r="W72" s="11">
        <f t="shared" ref="W72:Y72" si="4">AVERAGE(W42:W71)</f>
        <v>2502.8333333333335</v>
      </c>
      <c r="X72" s="11">
        <f t="shared" si="4"/>
        <v>1153.7666666666667</v>
      </c>
      <c r="Y72" s="11">
        <f t="shared" si="4"/>
        <v>2620.8000000000002</v>
      </c>
    </row>
    <row r="74" spans="1:31" ht="15.75" thickBot="1"/>
    <row r="75" spans="1:31" ht="15.75" thickBot="1">
      <c r="B75" s="60" t="s">
        <v>0</v>
      </c>
      <c r="C75" s="61"/>
      <c r="D75" s="61"/>
      <c r="E75" s="61"/>
      <c r="G75" s="60" t="s">
        <v>0</v>
      </c>
      <c r="H75" s="61"/>
      <c r="I75" s="61"/>
      <c r="J75" s="61"/>
      <c r="L75" s="60" t="s">
        <v>0</v>
      </c>
      <c r="M75" s="61"/>
      <c r="N75" s="61"/>
      <c r="O75" s="61"/>
      <c r="Q75" s="60" t="s">
        <v>0</v>
      </c>
      <c r="R75" s="61"/>
      <c r="S75" s="61"/>
      <c r="T75" s="61"/>
      <c r="V75" s="60" t="s">
        <v>0</v>
      </c>
      <c r="W75" s="61"/>
      <c r="X75" s="61"/>
      <c r="Y75" s="61"/>
      <c r="AA75" s="20"/>
      <c r="AB75" s="20"/>
      <c r="AC75" s="20"/>
      <c r="AD75" s="20"/>
      <c r="AE75" s="20"/>
    </row>
    <row r="76" spans="1:31" ht="15.75" thickBot="1">
      <c r="B76" s="59" t="s">
        <v>16</v>
      </c>
      <c r="C76" s="59"/>
      <c r="D76" s="59"/>
      <c r="E76" s="59"/>
      <c r="G76" s="59" t="s">
        <v>17</v>
      </c>
      <c r="H76" s="59"/>
      <c r="I76" s="59"/>
      <c r="J76" s="59"/>
      <c r="L76" s="59" t="s">
        <v>18</v>
      </c>
      <c r="M76" s="59"/>
      <c r="N76" s="59"/>
      <c r="O76" s="59"/>
      <c r="Q76" s="59" t="s">
        <v>19</v>
      </c>
      <c r="R76" s="59"/>
      <c r="S76" s="59"/>
      <c r="T76" s="59"/>
      <c r="V76" s="59" t="s">
        <v>20</v>
      </c>
      <c r="W76" s="59"/>
      <c r="X76" s="59"/>
      <c r="Y76" s="59"/>
      <c r="AA76" s="21"/>
      <c r="AB76" s="21"/>
      <c r="AC76" s="21"/>
      <c r="AD76" s="21"/>
      <c r="AE76" s="21"/>
    </row>
    <row r="77" spans="1:31" ht="45.75" thickBot="1">
      <c r="B77" s="28" t="s">
        <v>6</v>
      </c>
      <c r="C77" s="44" t="s">
        <v>7</v>
      </c>
      <c r="D77" s="43" t="s">
        <v>8</v>
      </c>
      <c r="E77" s="43" t="s">
        <v>9</v>
      </c>
      <c r="G77" s="28" t="s">
        <v>6</v>
      </c>
      <c r="H77" s="44" t="s">
        <v>7</v>
      </c>
      <c r="I77" s="43" t="s">
        <v>8</v>
      </c>
      <c r="J77" s="43" t="s">
        <v>9</v>
      </c>
      <c r="L77" s="28" t="s">
        <v>6</v>
      </c>
      <c r="M77" s="44" t="s">
        <v>7</v>
      </c>
      <c r="N77" s="43" t="s">
        <v>8</v>
      </c>
      <c r="O77" s="43" t="s">
        <v>9</v>
      </c>
      <c r="Q77" s="28" t="s">
        <v>6</v>
      </c>
      <c r="R77" s="44" t="s">
        <v>7</v>
      </c>
      <c r="S77" s="43" t="s">
        <v>8</v>
      </c>
      <c r="T77" s="43" t="s">
        <v>9</v>
      </c>
      <c r="V77" s="28" t="s">
        <v>6</v>
      </c>
      <c r="W77" s="44" t="s">
        <v>7</v>
      </c>
      <c r="X77" s="43" t="s">
        <v>8</v>
      </c>
      <c r="Y77" s="43" t="s">
        <v>9</v>
      </c>
    </row>
    <row r="78" spans="1:31">
      <c r="B78" s="9">
        <v>518260</v>
      </c>
      <c r="C78" s="9">
        <v>128049</v>
      </c>
      <c r="D78" s="9">
        <v>228726</v>
      </c>
      <c r="E78" s="9">
        <v>446627</v>
      </c>
      <c r="G78" s="9">
        <v>252594</v>
      </c>
      <c r="H78" s="9">
        <v>99869</v>
      </c>
      <c r="I78" s="9">
        <v>119322</v>
      </c>
      <c r="J78" s="9">
        <v>250499</v>
      </c>
      <c r="L78" s="9">
        <v>135309</v>
      </c>
      <c r="M78" s="9">
        <v>149797</v>
      </c>
      <c r="N78" s="9">
        <v>79026</v>
      </c>
      <c r="O78" s="9">
        <v>158633</v>
      </c>
      <c r="Q78" s="9">
        <v>127369</v>
      </c>
      <c r="R78" s="9">
        <v>105375</v>
      </c>
      <c r="S78" s="9">
        <v>48690</v>
      </c>
      <c r="T78" s="9">
        <v>94595</v>
      </c>
      <c r="V78" s="9">
        <v>128360</v>
      </c>
      <c r="W78" s="9">
        <v>94677</v>
      </c>
      <c r="X78" s="9">
        <v>39876</v>
      </c>
      <c r="Y78" s="9">
        <v>96409</v>
      </c>
    </row>
    <row r="79" spans="1:31">
      <c r="B79" s="9">
        <v>488295</v>
      </c>
      <c r="C79" s="9">
        <v>126031</v>
      </c>
      <c r="D79" s="9">
        <v>228528</v>
      </c>
      <c r="E79" s="9">
        <v>426374</v>
      </c>
      <c r="G79" s="9">
        <v>251215</v>
      </c>
      <c r="H79" s="9">
        <v>108412</v>
      </c>
      <c r="I79" s="9">
        <v>122755</v>
      </c>
      <c r="J79" s="9">
        <v>255505</v>
      </c>
      <c r="L79" s="9">
        <v>131784</v>
      </c>
      <c r="M79" s="9">
        <v>99432</v>
      </c>
      <c r="N79" s="9">
        <v>80565</v>
      </c>
      <c r="O79" s="9">
        <v>155664</v>
      </c>
      <c r="Q79" s="9">
        <v>137732</v>
      </c>
      <c r="R79" s="9">
        <v>94122</v>
      </c>
      <c r="S79" s="9">
        <v>48100</v>
      </c>
      <c r="T79" s="9">
        <v>96193</v>
      </c>
      <c r="V79" s="9">
        <v>126335</v>
      </c>
      <c r="W79" s="9">
        <v>109140</v>
      </c>
      <c r="X79" s="9">
        <v>39980</v>
      </c>
      <c r="Y79" s="9">
        <v>80877</v>
      </c>
    </row>
    <row r="80" spans="1:31">
      <c r="B80" s="9">
        <v>486314</v>
      </c>
      <c r="C80" s="9">
        <v>112727</v>
      </c>
      <c r="D80" s="9">
        <v>227364</v>
      </c>
      <c r="E80" s="9">
        <v>445573</v>
      </c>
      <c r="G80" s="9">
        <v>252057</v>
      </c>
      <c r="H80" s="9">
        <v>97368</v>
      </c>
      <c r="I80" s="9">
        <v>1153832</v>
      </c>
      <c r="J80" s="9">
        <v>262192</v>
      </c>
      <c r="L80" s="9">
        <v>126900</v>
      </c>
      <c r="M80" s="9">
        <v>170380</v>
      </c>
      <c r="N80" s="9">
        <v>67011</v>
      </c>
      <c r="O80" s="9">
        <v>153823</v>
      </c>
      <c r="Q80" s="9">
        <v>135726</v>
      </c>
      <c r="R80" s="9">
        <v>183324</v>
      </c>
      <c r="S80" s="9">
        <v>47293</v>
      </c>
      <c r="T80" s="9">
        <v>99658</v>
      </c>
      <c r="V80" s="9">
        <v>132856</v>
      </c>
      <c r="W80" s="9">
        <v>95118</v>
      </c>
      <c r="X80" s="9">
        <v>36291</v>
      </c>
      <c r="Y80" s="9">
        <v>84876</v>
      </c>
    </row>
    <row r="81" spans="2:25">
      <c r="B81" s="9">
        <v>494723</v>
      </c>
      <c r="C81" s="9">
        <v>118823</v>
      </c>
      <c r="D81" s="9">
        <v>230754</v>
      </c>
      <c r="E81" s="9">
        <v>468242</v>
      </c>
      <c r="G81" s="9">
        <v>260182</v>
      </c>
      <c r="H81" s="9">
        <v>154446</v>
      </c>
      <c r="I81" s="9">
        <v>140437</v>
      </c>
      <c r="J81" s="9">
        <v>242598</v>
      </c>
      <c r="L81" s="9">
        <v>129770</v>
      </c>
      <c r="M81" s="9">
        <v>96419</v>
      </c>
      <c r="N81" s="9">
        <v>70437</v>
      </c>
      <c r="O81" s="9">
        <v>149503</v>
      </c>
      <c r="Q81" s="9">
        <v>135685</v>
      </c>
      <c r="R81" s="9">
        <v>97550</v>
      </c>
      <c r="S81" s="9">
        <v>45569</v>
      </c>
      <c r="T81" s="9">
        <v>94171</v>
      </c>
      <c r="V81" s="9">
        <v>130294</v>
      </c>
      <c r="W81" s="9">
        <v>112439</v>
      </c>
      <c r="X81" s="9">
        <v>37086</v>
      </c>
      <c r="Y81" s="9">
        <v>82093</v>
      </c>
    </row>
    <row r="82" spans="2:25">
      <c r="B82" s="9">
        <v>487879</v>
      </c>
      <c r="C82" s="9">
        <v>112661</v>
      </c>
      <c r="D82" s="9">
        <v>226112</v>
      </c>
      <c r="E82" s="9">
        <v>445347</v>
      </c>
      <c r="G82" s="9">
        <v>242482</v>
      </c>
      <c r="H82" s="9">
        <v>99424</v>
      </c>
      <c r="I82" s="9">
        <v>135379</v>
      </c>
      <c r="J82" s="9">
        <v>251347</v>
      </c>
      <c r="L82" s="9">
        <v>128271</v>
      </c>
      <c r="M82" s="9">
        <v>96536</v>
      </c>
      <c r="N82" s="9">
        <v>76787</v>
      </c>
      <c r="O82" s="9">
        <v>148045</v>
      </c>
      <c r="Q82" s="9">
        <v>130628</v>
      </c>
      <c r="R82" s="9">
        <v>176650</v>
      </c>
      <c r="S82" s="9">
        <v>48996</v>
      </c>
      <c r="T82" s="9">
        <v>93744</v>
      </c>
      <c r="V82" s="9">
        <v>128320</v>
      </c>
      <c r="W82" s="9">
        <v>97270</v>
      </c>
      <c r="X82" s="9">
        <v>40038</v>
      </c>
      <c r="Y82" s="9">
        <v>83361</v>
      </c>
    </row>
    <row r="83" spans="2:25">
      <c r="B83" s="9">
        <v>512533</v>
      </c>
      <c r="C83" s="9">
        <v>110115</v>
      </c>
      <c r="D83" s="9">
        <v>236469</v>
      </c>
      <c r="E83" s="9">
        <v>458745</v>
      </c>
      <c r="G83" s="9">
        <v>255497</v>
      </c>
      <c r="H83" s="9">
        <v>101541</v>
      </c>
      <c r="I83" s="9">
        <v>120552</v>
      </c>
      <c r="J83" s="9">
        <v>245164</v>
      </c>
      <c r="L83" s="9">
        <v>131243</v>
      </c>
      <c r="M83" s="9">
        <v>107596</v>
      </c>
      <c r="N83" s="9">
        <v>83259</v>
      </c>
      <c r="O83" s="9">
        <v>150787</v>
      </c>
      <c r="Q83" s="9">
        <v>134056</v>
      </c>
      <c r="R83" s="9">
        <v>99303</v>
      </c>
      <c r="S83" s="9">
        <v>44922</v>
      </c>
      <c r="T83" s="9">
        <v>98761</v>
      </c>
      <c r="V83" s="9">
        <v>127875</v>
      </c>
      <c r="W83" s="9">
        <v>182199</v>
      </c>
      <c r="X83" s="9">
        <v>39984</v>
      </c>
      <c r="Y83" s="9">
        <v>82286</v>
      </c>
    </row>
    <row r="84" spans="2:25">
      <c r="B84" s="9">
        <v>498387</v>
      </c>
      <c r="C84" s="9">
        <v>119497</v>
      </c>
      <c r="D84" s="9">
        <v>227861</v>
      </c>
      <c r="E84" s="9">
        <v>455196</v>
      </c>
      <c r="G84" s="9">
        <v>247446</v>
      </c>
      <c r="H84" s="9">
        <v>100585</v>
      </c>
      <c r="I84" s="9">
        <v>127235</v>
      </c>
      <c r="J84" s="9">
        <v>302727</v>
      </c>
      <c r="L84" s="9">
        <v>124155</v>
      </c>
      <c r="M84" s="9">
        <v>156813</v>
      </c>
      <c r="N84" s="9">
        <v>79847</v>
      </c>
      <c r="O84" s="9">
        <v>151294</v>
      </c>
      <c r="Q84" s="9">
        <v>134048</v>
      </c>
      <c r="R84" s="9">
        <v>96108</v>
      </c>
      <c r="S84" s="9">
        <v>48609</v>
      </c>
      <c r="T84" s="9">
        <v>101643</v>
      </c>
      <c r="V84" s="9">
        <v>127223</v>
      </c>
      <c r="W84" s="9">
        <v>93986</v>
      </c>
      <c r="X84" s="9">
        <v>37002</v>
      </c>
      <c r="Y84" s="9">
        <v>80445</v>
      </c>
    </row>
    <row r="85" spans="2:25">
      <c r="B85" s="9">
        <v>483869</v>
      </c>
      <c r="C85" s="9">
        <v>123483</v>
      </c>
      <c r="D85" s="9">
        <v>234071</v>
      </c>
      <c r="E85" s="9">
        <v>475071</v>
      </c>
      <c r="G85" s="9">
        <v>249841</v>
      </c>
      <c r="H85" s="9">
        <v>101564</v>
      </c>
      <c r="I85" s="9">
        <v>126444</v>
      </c>
      <c r="J85" s="9">
        <v>246784</v>
      </c>
      <c r="L85" s="9">
        <v>124498</v>
      </c>
      <c r="M85" s="9">
        <v>105854</v>
      </c>
      <c r="N85" s="9">
        <v>78060</v>
      </c>
      <c r="O85" s="9">
        <v>153960</v>
      </c>
      <c r="Q85" s="9">
        <v>130097</v>
      </c>
      <c r="R85" s="9">
        <v>111054</v>
      </c>
      <c r="S85" s="9">
        <v>46336</v>
      </c>
      <c r="T85" s="9">
        <v>94035</v>
      </c>
      <c r="V85" s="9">
        <v>126580</v>
      </c>
      <c r="W85" s="9">
        <v>179413</v>
      </c>
      <c r="X85" s="9">
        <v>40826</v>
      </c>
      <c r="Y85" s="9">
        <v>85182</v>
      </c>
    </row>
    <row r="86" spans="2:25">
      <c r="B86" s="9">
        <v>508518</v>
      </c>
      <c r="C86" s="9">
        <v>117172</v>
      </c>
      <c r="D86" s="9">
        <v>228277</v>
      </c>
      <c r="E86" s="9">
        <v>452880</v>
      </c>
      <c r="G86" s="9">
        <v>256297</v>
      </c>
      <c r="H86" s="9">
        <v>150727</v>
      </c>
      <c r="I86" s="9">
        <v>117723</v>
      </c>
      <c r="J86" s="9">
        <v>248202</v>
      </c>
      <c r="L86" s="9">
        <v>129806</v>
      </c>
      <c r="M86" s="9">
        <v>175829</v>
      </c>
      <c r="N86" s="9">
        <v>79946</v>
      </c>
      <c r="O86" s="9">
        <v>148243</v>
      </c>
      <c r="Q86" s="9">
        <v>137480</v>
      </c>
      <c r="R86" s="9">
        <v>94532</v>
      </c>
      <c r="S86" s="9">
        <v>45599</v>
      </c>
      <c r="T86" s="9">
        <v>99491</v>
      </c>
      <c r="V86" s="9">
        <v>126552</v>
      </c>
      <c r="W86" s="9">
        <v>98839</v>
      </c>
      <c r="X86" s="9">
        <v>36950</v>
      </c>
      <c r="Y86" s="9">
        <v>83303</v>
      </c>
    </row>
    <row r="87" spans="2:25">
      <c r="B87" s="9">
        <v>490581</v>
      </c>
      <c r="C87" s="9">
        <v>138001</v>
      </c>
      <c r="D87" s="9">
        <v>229983</v>
      </c>
      <c r="E87" s="9">
        <v>463733</v>
      </c>
      <c r="G87" s="9">
        <v>242680</v>
      </c>
      <c r="H87" s="9">
        <v>101591</v>
      </c>
      <c r="I87" s="9">
        <v>131831</v>
      </c>
      <c r="J87" s="9">
        <v>227030</v>
      </c>
      <c r="L87" s="9">
        <v>131026</v>
      </c>
      <c r="M87" s="9">
        <v>103185</v>
      </c>
      <c r="N87" s="9">
        <v>77331</v>
      </c>
      <c r="O87" s="9">
        <v>153682</v>
      </c>
      <c r="Q87" s="9">
        <v>133430</v>
      </c>
      <c r="R87" s="9">
        <v>168251</v>
      </c>
      <c r="S87" s="9">
        <v>47383</v>
      </c>
      <c r="T87" s="9">
        <v>93125</v>
      </c>
      <c r="V87" s="9">
        <v>126559</v>
      </c>
      <c r="W87" s="9">
        <v>181152</v>
      </c>
      <c r="X87" s="9">
        <v>40097</v>
      </c>
      <c r="Y87" s="9">
        <v>82473</v>
      </c>
    </row>
    <row r="88" spans="2:25">
      <c r="B88" s="9">
        <v>504205</v>
      </c>
      <c r="C88" s="9">
        <v>109909</v>
      </c>
      <c r="D88" s="9">
        <v>226867</v>
      </c>
      <c r="E88" s="9">
        <v>450128</v>
      </c>
      <c r="G88" s="9">
        <v>246881</v>
      </c>
      <c r="H88" s="9">
        <v>100313</v>
      </c>
      <c r="I88" s="9">
        <v>115089</v>
      </c>
      <c r="J88" s="9">
        <v>231766</v>
      </c>
      <c r="L88" s="9">
        <v>124326</v>
      </c>
      <c r="M88" s="9">
        <v>170260</v>
      </c>
      <c r="N88" s="9">
        <v>66886</v>
      </c>
      <c r="O88" s="9">
        <v>150420</v>
      </c>
      <c r="Q88" s="9">
        <v>138351</v>
      </c>
      <c r="R88" s="9">
        <v>97377</v>
      </c>
      <c r="S88" s="9">
        <v>46445</v>
      </c>
      <c r="T88" s="9">
        <v>90910</v>
      </c>
      <c r="V88" s="9">
        <v>129201</v>
      </c>
      <c r="W88" s="9">
        <v>98917</v>
      </c>
      <c r="X88" s="9">
        <v>39724</v>
      </c>
      <c r="Y88" s="9">
        <v>79290</v>
      </c>
    </row>
    <row r="89" spans="2:25">
      <c r="B89" s="9">
        <v>501745</v>
      </c>
      <c r="C89" s="9">
        <v>112306</v>
      </c>
      <c r="D89" s="9">
        <v>236320</v>
      </c>
      <c r="E89" s="9">
        <v>434916</v>
      </c>
      <c r="G89" s="9">
        <v>249967</v>
      </c>
      <c r="H89" s="9">
        <v>103150</v>
      </c>
      <c r="I89" s="9">
        <v>116739</v>
      </c>
      <c r="J89" s="9">
        <v>225686</v>
      </c>
      <c r="L89" s="9">
        <v>129412</v>
      </c>
      <c r="M89" s="9">
        <v>104581</v>
      </c>
      <c r="N89" s="9">
        <v>79653</v>
      </c>
      <c r="O89" s="9">
        <v>149914</v>
      </c>
      <c r="Q89" s="9">
        <v>131856</v>
      </c>
      <c r="R89" s="9">
        <v>179663</v>
      </c>
      <c r="S89" s="9">
        <v>45467</v>
      </c>
      <c r="T89" s="9">
        <v>99415</v>
      </c>
      <c r="V89" s="9">
        <v>123300</v>
      </c>
      <c r="W89" s="9">
        <v>185859</v>
      </c>
      <c r="X89" s="9">
        <v>39583</v>
      </c>
      <c r="Y89" s="9">
        <v>104715</v>
      </c>
    </row>
    <row r="90" spans="2:25">
      <c r="B90" s="9">
        <v>508237</v>
      </c>
      <c r="C90" s="9">
        <v>109093</v>
      </c>
      <c r="D90" s="9">
        <v>227483</v>
      </c>
      <c r="E90" s="9">
        <v>442211</v>
      </c>
      <c r="G90" s="9">
        <v>240432</v>
      </c>
      <c r="H90" s="9">
        <v>149125</v>
      </c>
      <c r="I90" s="9">
        <v>122253</v>
      </c>
      <c r="J90" s="9">
        <v>226432</v>
      </c>
      <c r="L90" s="9">
        <v>126924</v>
      </c>
      <c r="M90" s="9">
        <v>92624</v>
      </c>
      <c r="N90" s="9">
        <v>87449</v>
      </c>
      <c r="O90" s="9">
        <v>155990</v>
      </c>
      <c r="Q90" s="9">
        <v>135903</v>
      </c>
      <c r="R90" s="9">
        <v>100790</v>
      </c>
      <c r="S90" s="9">
        <v>46127</v>
      </c>
      <c r="T90" s="9">
        <v>99783</v>
      </c>
      <c r="V90" s="9">
        <v>125675</v>
      </c>
      <c r="W90" s="9">
        <v>96870</v>
      </c>
      <c r="X90" s="9">
        <v>37994</v>
      </c>
      <c r="Y90" s="9">
        <v>95035</v>
      </c>
    </row>
    <row r="91" spans="2:25">
      <c r="B91" s="9">
        <v>488602</v>
      </c>
      <c r="C91" s="9">
        <v>109911</v>
      </c>
      <c r="D91" s="9">
        <v>236243</v>
      </c>
      <c r="E91" s="9">
        <v>446994</v>
      </c>
      <c r="G91" s="9">
        <v>242056</v>
      </c>
      <c r="H91" s="9">
        <v>101372</v>
      </c>
      <c r="I91" s="9">
        <v>125243</v>
      </c>
      <c r="J91" s="9">
        <v>227414</v>
      </c>
      <c r="L91" s="9">
        <v>129338</v>
      </c>
      <c r="M91" s="9">
        <v>183189</v>
      </c>
      <c r="N91" s="9">
        <v>78962</v>
      </c>
      <c r="O91" s="9">
        <v>145602</v>
      </c>
      <c r="Q91" s="9">
        <v>129152</v>
      </c>
      <c r="R91" s="9">
        <v>179168</v>
      </c>
      <c r="S91" s="9">
        <v>46307</v>
      </c>
      <c r="T91" s="9">
        <v>92921</v>
      </c>
      <c r="V91" s="9">
        <v>128781</v>
      </c>
      <c r="W91" s="9">
        <v>176882</v>
      </c>
      <c r="X91" s="9">
        <v>39816</v>
      </c>
      <c r="Y91" s="9">
        <v>81761</v>
      </c>
    </row>
    <row r="92" spans="2:25">
      <c r="B92" s="9">
        <v>487662</v>
      </c>
      <c r="C92" s="9">
        <v>113563</v>
      </c>
      <c r="D92" s="9">
        <v>228991</v>
      </c>
      <c r="E92" s="9">
        <v>451498</v>
      </c>
      <c r="G92" s="9">
        <v>258250</v>
      </c>
      <c r="H92" s="9">
        <v>93616</v>
      </c>
      <c r="I92" s="9">
        <v>118399</v>
      </c>
      <c r="J92" s="9">
        <v>225212</v>
      </c>
      <c r="L92" s="9">
        <v>123788</v>
      </c>
      <c r="M92" s="9">
        <v>98555</v>
      </c>
      <c r="N92" s="9">
        <v>73456</v>
      </c>
      <c r="O92" s="9">
        <v>152150</v>
      </c>
      <c r="Q92" s="9">
        <v>129548</v>
      </c>
      <c r="R92" s="9">
        <v>107220</v>
      </c>
      <c r="S92" s="9">
        <v>45975</v>
      </c>
      <c r="T92" s="9">
        <v>96815</v>
      </c>
      <c r="V92" s="9">
        <v>131338</v>
      </c>
      <c r="W92" s="9">
        <v>108970</v>
      </c>
      <c r="X92" s="9">
        <v>41574</v>
      </c>
      <c r="Y92" s="9">
        <v>84525</v>
      </c>
    </row>
    <row r="93" spans="2:25">
      <c r="B93" s="9">
        <v>479057</v>
      </c>
      <c r="C93" s="9">
        <v>118046</v>
      </c>
      <c r="D93" s="9">
        <v>235739</v>
      </c>
      <c r="E93" s="9">
        <v>452737</v>
      </c>
      <c r="G93" s="9">
        <v>245312</v>
      </c>
      <c r="H93" s="9">
        <v>104694</v>
      </c>
      <c r="I93" s="9">
        <v>120821</v>
      </c>
      <c r="J93" s="9">
        <v>242767</v>
      </c>
      <c r="L93" s="9">
        <v>129855</v>
      </c>
      <c r="M93" s="9">
        <v>169159</v>
      </c>
      <c r="N93" s="9">
        <v>69594</v>
      </c>
      <c r="O93" s="9">
        <v>153710</v>
      </c>
      <c r="Q93" s="9">
        <v>134225</v>
      </c>
      <c r="R93" s="9">
        <v>166742</v>
      </c>
      <c r="S93" s="9">
        <v>44239</v>
      </c>
      <c r="T93" s="9">
        <v>95988</v>
      </c>
      <c r="V93" s="9">
        <v>123263</v>
      </c>
      <c r="W93" s="9">
        <v>162046</v>
      </c>
      <c r="X93" s="9">
        <v>39978</v>
      </c>
      <c r="Y93" s="9">
        <v>79491</v>
      </c>
    </row>
    <row r="94" spans="2:25">
      <c r="B94" s="9">
        <v>506045</v>
      </c>
      <c r="C94" s="9">
        <v>123373</v>
      </c>
      <c r="D94" s="9">
        <v>226716</v>
      </c>
      <c r="E94" s="9">
        <v>408291</v>
      </c>
      <c r="G94" s="9">
        <v>247690</v>
      </c>
      <c r="H94" s="9">
        <v>95058</v>
      </c>
      <c r="I94" s="9">
        <v>139676</v>
      </c>
      <c r="J94" s="9">
        <v>252295</v>
      </c>
      <c r="L94" s="9">
        <v>136532</v>
      </c>
      <c r="M94" s="9">
        <v>98396</v>
      </c>
      <c r="N94" s="9">
        <v>67168</v>
      </c>
      <c r="O94" s="9">
        <v>138325</v>
      </c>
      <c r="Q94" s="9">
        <v>134566</v>
      </c>
      <c r="R94" s="9">
        <v>101259</v>
      </c>
      <c r="S94" s="9">
        <v>46839</v>
      </c>
      <c r="T94" s="9">
        <v>99530</v>
      </c>
      <c r="V94" s="9">
        <v>128396</v>
      </c>
      <c r="W94" s="9">
        <v>101727</v>
      </c>
      <c r="X94" s="9">
        <v>38601</v>
      </c>
      <c r="Y94" s="9">
        <v>85079</v>
      </c>
    </row>
    <row r="95" spans="2:25">
      <c r="B95" s="9">
        <v>494529</v>
      </c>
      <c r="C95" s="9">
        <v>114269</v>
      </c>
      <c r="D95" s="9">
        <v>229558</v>
      </c>
      <c r="E95" s="9">
        <v>414693</v>
      </c>
      <c r="G95" s="9">
        <v>245644</v>
      </c>
      <c r="H95" s="9">
        <v>151122</v>
      </c>
      <c r="I95" s="9">
        <v>118253</v>
      </c>
      <c r="J95" s="9">
        <v>245254</v>
      </c>
      <c r="L95" s="9">
        <v>129035</v>
      </c>
      <c r="M95" s="9">
        <v>102519</v>
      </c>
      <c r="N95" s="9">
        <v>69856</v>
      </c>
      <c r="O95" s="9">
        <v>136743</v>
      </c>
      <c r="Q95" s="9">
        <v>131593</v>
      </c>
      <c r="R95" s="9">
        <v>94952</v>
      </c>
      <c r="S95" s="9">
        <v>44029</v>
      </c>
      <c r="T95" s="9">
        <v>96776</v>
      </c>
      <c r="V95" s="9">
        <v>131735</v>
      </c>
      <c r="W95" s="9">
        <v>181741</v>
      </c>
      <c r="X95" s="9">
        <v>36696</v>
      </c>
      <c r="Y95" s="9">
        <v>82592</v>
      </c>
    </row>
    <row r="96" spans="2:25">
      <c r="B96" s="9">
        <v>487576</v>
      </c>
      <c r="C96" s="9">
        <v>123794</v>
      </c>
      <c r="D96" s="9">
        <v>227008</v>
      </c>
      <c r="E96" s="9">
        <v>402212</v>
      </c>
      <c r="G96" s="9">
        <v>253386</v>
      </c>
      <c r="H96" s="9">
        <v>98282</v>
      </c>
      <c r="I96" s="9">
        <v>118109</v>
      </c>
      <c r="J96" s="9">
        <v>242219</v>
      </c>
      <c r="L96" s="9">
        <v>131510</v>
      </c>
      <c r="M96" s="9">
        <v>168304</v>
      </c>
      <c r="N96" s="9">
        <v>68862</v>
      </c>
      <c r="O96" s="9">
        <v>139732</v>
      </c>
      <c r="Q96" s="9">
        <v>129145</v>
      </c>
      <c r="R96" s="9">
        <v>106530</v>
      </c>
      <c r="S96" s="9">
        <v>44894</v>
      </c>
      <c r="T96" s="9">
        <v>96547</v>
      </c>
      <c r="V96" s="9">
        <v>130569</v>
      </c>
      <c r="W96" s="9">
        <v>99744</v>
      </c>
      <c r="X96" s="9">
        <v>39455</v>
      </c>
      <c r="Y96" s="9">
        <v>80580</v>
      </c>
    </row>
    <row r="97" spans="1:31">
      <c r="B97" s="9">
        <v>497041</v>
      </c>
      <c r="C97" s="9">
        <v>110828</v>
      </c>
      <c r="D97" s="9">
        <v>230821</v>
      </c>
      <c r="E97" s="9">
        <v>397937</v>
      </c>
      <c r="G97" s="9">
        <v>253154</v>
      </c>
      <c r="H97" s="9">
        <v>104669</v>
      </c>
      <c r="I97" s="9">
        <v>115045</v>
      </c>
      <c r="J97" s="9">
        <v>252423</v>
      </c>
      <c r="L97" s="9">
        <v>127245</v>
      </c>
      <c r="M97" s="9">
        <v>91172</v>
      </c>
      <c r="N97" s="9">
        <v>69931</v>
      </c>
      <c r="O97" s="9">
        <v>135510</v>
      </c>
      <c r="Q97" s="9">
        <v>128625</v>
      </c>
      <c r="R97" s="9">
        <v>102939</v>
      </c>
      <c r="S97" s="9">
        <v>44426</v>
      </c>
      <c r="T97" s="9">
        <v>104424</v>
      </c>
      <c r="V97" s="9">
        <v>131590</v>
      </c>
      <c r="W97" s="9">
        <v>174723</v>
      </c>
      <c r="X97" s="9">
        <v>39981</v>
      </c>
      <c r="Y97" s="9">
        <v>79783</v>
      </c>
    </row>
    <row r="98" spans="1:31">
      <c r="B98" s="9">
        <v>511838</v>
      </c>
      <c r="C98" s="9">
        <v>113352</v>
      </c>
      <c r="D98" s="9">
        <v>226742</v>
      </c>
      <c r="E98" s="9">
        <v>423661</v>
      </c>
      <c r="G98" s="9">
        <v>246587</v>
      </c>
      <c r="H98" s="9">
        <v>102130</v>
      </c>
      <c r="I98" s="9">
        <v>127980</v>
      </c>
      <c r="J98" s="9">
        <v>246249</v>
      </c>
      <c r="L98" s="9">
        <v>128881</v>
      </c>
      <c r="M98" s="9">
        <v>189536</v>
      </c>
      <c r="N98" s="9">
        <v>68516</v>
      </c>
      <c r="O98" s="9">
        <v>138656</v>
      </c>
      <c r="Q98" s="9">
        <v>133248</v>
      </c>
      <c r="R98" s="9">
        <v>178052</v>
      </c>
      <c r="S98" s="9">
        <v>46217</v>
      </c>
      <c r="T98" s="9">
        <v>99000</v>
      </c>
      <c r="V98" s="9">
        <v>128976</v>
      </c>
      <c r="W98" s="9">
        <v>97641</v>
      </c>
      <c r="X98" s="9">
        <v>37992</v>
      </c>
      <c r="Y98" s="9">
        <v>79805</v>
      </c>
    </row>
    <row r="99" spans="1:31">
      <c r="B99" s="9">
        <v>494964</v>
      </c>
      <c r="C99" s="9">
        <v>110340</v>
      </c>
      <c r="D99" s="9">
        <v>231169</v>
      </c>
      <c r="E99" s="9">
        <v>446763</v>
      </c>
      <c r="G99" s="9">
        <v>257785</v>
      </c>
      <c r="H99" s="9">
        <v>141051</v>
      </c>
      <c r="I99" s="9">
        <v>117076</v>
      </c>
      <c r="J99" s="9">
        <v>242148</v>
      </c>
      <c r="L99" s="9">
        <v>132113</v>
      </c>
      <c r="M99" s="9">
        <v>99869</v>
      </c>
      <c r="N99" s="9">
        <v>83700</v>
      </c>
      <c r="O99" s="9">
        <v>141076</v>
      </c>
      <c r="Q99" s="9">
        <v>136325</v>
      </c>
      <c r="R99" s="9">
        <v>102063</v>
      </c>
      <c r="S99" s="9">
        <v>45272</v>
      </c>
      <c r="T99" s="9">
        <v>102667</v>
      </c>
      <c r="V99" s="9">
        <v>169696</v>
      </c>
      <c r="W99" s="9">
        <v>183622</v>
      </c>
      <c r="X99" s="9">
        <v>40215</v>
      </c>
      <c r="Y99" s="9">
        <v>81916</v>
      </c>
    </row>
    <row r="100" spans="1:31">
      <c r="B100" s="9">
        <v>525406</v>
      </c>
      <c r="C100" s="9">
        <v>111440</v>
      </c>
      <c r="D100" s="9">
        <v>227147</v>
      </c>
      <c r="E100" s="9">
        <v>453193</v>
      </c>
      <c r="G100" s="9">
        <v>269444</v>
      </c>
      <c r="H100" s="9">
        <v>100515</v>
      </c>
      <c r="I100" s="9">
        <v>124475</v>
      </c>
      <c r="J100" s="9">
        <v>241017</v>
      </c>
      <c r="L100" s="9">
        <v>133017</v>
      </c>
      <c r="M100" s="9">
        <v>185067</v>
      </c>
      <c r="N100" s="9">
        <v>74963</v>
      </c>
      <c r="O100" s="9">
        <v>140238</v>
      </c>
      <c r="Q100" s="9">
        <v>130516</v>
      </c>
      <c r="R100" s="9">
        <v>178524</v>
      </c>
      <c r="S100" s="9">
        <v>48299</v>
      </c>
      <c r="T100" s="9">
        <v>96002</v>
      </c>
      <c r="V100" s="9">
        <v>135774</v>
      </c>
      <c r="W100" s="9">
        <v>91264</v>
      </c>
      <c r="X100" s="9">
        <v>39487</v>
      </c>
      <c r="Y100" s="9">
        <v>83237</v>
      </c>
    </row>
    <row r="101" spans="1:31">
      <c r="B101" s="9">
        <v>487625</v>
      </c>
      <c r="C101" s="9">
        <v>118904</v>
      </c>
      <c r="D101" s="9">
        <v>231123</v>
      </c>
      <c r="E101" s="9">
        <v>477474</v>
      </c>
      <c r="G101" s="9">
        <v>252485</v>
      </c>
      <c r="H101" s="9">
        <v>100095</v>
      </c>
      <c r="I101" s="9">
        <v>148726</v>
      </c>
      <c r="J101" s="9">
        <v>248288</v>
      </c>
      <c r="L101" s="9">
        <v>139277</v>
      </c>
      <c r="M101" s="9">
        <v>102748</v>
      </c>
      <c r="N101" s="9">
        <v>73524</v>
      </c>
      <c r="O101" s="9">
        <v>143507</v>
      </c>
      <c r="Q101" s="9">
        <v>128642</v>
      </c>
      <c r="R101" s="9">
        <v>92775</v>
      </c>
      <c r="S101" s="9">
        <v>47614</v>
      </c>
      <c r="T101" s="9">
        <v>92277</v>
      </c>
      <c r="V101" s="9">
        <v>131196</v>
      </c>
      <c r="W101" s="9">
        <v>182623</v>
      </c>
      <c r="X101" s="9">
        <v>40394</v>
      </c>
      <c r="Y101" s="9">
        <v>81719</v>
      </c>
    </row>
    <row r="102" spans="1:31">
      <c r="B102" s="9">
        <v>568522</v>
      </c>
      <c r="C102" s="9">
        <v>127339</v>
      </c>
      <c r="D102" s="9">
        <v>226672</v>
      </c>
      <c r="E102" s="9">
        <v>433364</v>
      </c>
      <c r="G102" s="9">
        <v>251737</v>
      </c>
      <c r="H102" s="9">
        <v>98827</v>
      </c>
      <c r="I102" s="9">
        <v>126074</v>
      </c>
      <c r="J102" s="9">
        <v>245601</v>
      </c>
      <c r="L102" s="9">
        <v>134863</v>
      </c>
      <c r="M102" s="9">
        <v>177500</v>
      </c>
      <c r="N102" s="9">
        <v>86284</v>
      </c>
      <c r="O102" s="9">
        <v>138599</v>
      </c>
      <c r="Q102" s="9">
        <v>129315</v>
      </c>
      <c r="R102" s="9">
        <v>177409</v>
      </c>
      <c r="S102" s="9">
        <v>45200</v>
      </c>
      <c r="T102" s="9">
        <v>92407</v>
      </c>
      <c r="V102" s="9">
        <v>133409</v>
      </c>
      <c r="W102" s="9">
        <v>97643</v>
      </c>
      <c r="X102" s="9">
        <v>40040</v>
      </c>
      <c r="Y102" s="9">
        <v>82781</v>
      </c>
    </row>
    <row r="103" spans="1:31">
      <c r="B103" s="9">
        <v>537821</v>
      </c>
      <c r="C103" s="9">
        <v>114421</v>
      </c>
      <c r="D103" s="9">
        <v>232936</v>
      </c>
      <c r="E103" s="9">
        <v>434566</v>
      </c>
      <c r="G103" s="9">
        <v>255057</v>
      </c>
      <c r="H103" s="9">
        <v>99984</v>
      </c>
      <c r="I103" s="9">
        <v>127711</v>
      </c>
      <c r="J103" s="9">
        <v>247624</v>
      </c>
      <c r="L103" s="9">
        <v>139304</v>
      </c>
      <c r="M103" s="9">
        <v>91858</v>
      </c>
      <c r="N103" s="9">
        <v>71265</v>
      </c>
      <c r="O103" s="9">
        <v>146244</v>
      </c>
      <c r="Q103" s="9">
        <v>130539</v>
      </c>
      <c r="R103" s="9">
        <v>98542</v>
      </c>
      <c r="S103" s="9">
        <v>48643</v>
      </c>
      <c r="T103" s="9">
        <v>97546</v>
      </c>
      <c r="V103" s="9">
        <v>133855</v>
      </c>
      <c r="W103" s="9">
        <v>187464</v>
      </c>
      <c r="X103" s="9">
        <v>39545</v>
      </c>
      <c r="Y103" s="9">
        <v>79808</v>
      </c>
    </row>
    <row r="104" spans="1:31">
      <c r="B104" s="9">
        <v>473178</v>
      </c>
      <c r="C104" s="9">
        <v>117859</v>
      </c>
      <c r="D104" s="9">
        <v>226135</v>
      </c>
      <c r="E104" s="9">
        <v>457659</v>
      </c>
      <c r="G104" s="9">
        <v>244825</v>
      </c>
      <c r="H104" s="9">
        <v>153843</v>
      </c>
      <c r="I104" s="9">
        <v>125104</v>
      </c>
      <c r="J104" s="9">
        <v>239816</v>
      </c>
      <c r="L104" s="9">
        <v>129484</v>
      </c>
      <c r="M104" s="9">
        <v>95453</v>
      </c>
      <c r="N104" s="9">
        <v>83488</v>
      </c>
      <c r="O104" s="9">
        <v>139201</v>
      </c>
      <c r="Q104" s="9">
        <v>125740</v>
      </c>
      <c r="R104" s="9">
        <v>183504</v>
      </c>
      <c r="S104" s="9">
        <v>47900</v>
      </c>
      <c r="T104" s="9">
        <v>98211</v>
      </c>
      <c r="V104" s="9">
        <v>127324</v>
      </c>
      <c r="W104" s="9">
        <v>97459</v>
      </c>
      <c r="X104" s="9">
        <v>39126</v>
      </c>
      <c r="Y104" s="9">
        <v>80254</v>
      </c>
    </row>
    <row r="105" spans="1:31">
      <c r="B105" s="9">
        <v>495224</v>
      </c>
      <c r="C105" s="9">
        <v>110132</v>
      </c>
      <c r="D105" s="9">
        <v>230316</v>
      </c>
      <c r="E105" s="9">
        <v>441389</v>
      </c>
      <c r="G105" s="9">
        <v>245648</v>
      </c>
      <c r="H105" s="9">
        <v>103477</v>
      </c>
      <c r="I105" s="9">
        <v>128677</v>
      </c>
      <c r="J105" s="9">
        <v>256685</v>
      </c>
      <c r="L105" s="9">
        <v>127986</v>
      </c>
      <c r="M105" s="9">
        <v>183186</v>
      </c>
      <c r="N105" s="9">
        <v>85984</v>
      </c>
      <c r="O105" s="9">
        <v>149049</v>
      </c>
      <c r="Q105" s="9">
        <v>137067</v>
      </c>
      <c r="R105" s="9">
        <v>103584</v>
      </c>
      <c r="S105" s="9">
        <v>48424</v>
      </c>
      <c r="T105" s="9">
        <v>97881</v>
      </c>
      <c r="V105" s="9">
        <v>129848</v>
      </c>
      <c r="W105" s="9">
        <v>174411</v>
      </c>
      <c r="X105" s="9">
        <v>38686</v>
      </c>
      <c r="Y105" s="9">
        <v>82667</v>
      </c>
    </row>
    <row r="106" spans="1:31">
      <c r="B106" s="9">
        <v>498486</v>
      </c>
      <c r="C106" s="9">
        <v>110931</v>
      </c>
      <c r="D106" s="9">
        <v>226917</v>
      </c>
      <c r="E106" s="9">
        <v>441985</v>
      </c>
      <c r="G106" s="9">
        <v>248039</v>
      </c>
      <c r="H106" s="9">
        <v>97357</v>
      </c>
      <c r="I106" s="9">
        <v>113331</v>
      </c>
      <c r="J106" s="9">
        <v>247362</v>
      </c>
      <c r="L106" s="9">
        <v>137914</v>
      </c>
      <c r="M106" s="9">
        <v>98204</v>
      </c>
      <c r="N106" s="9">
        <v>79755</v>
      </c>
      <c r="O106" s="9">
        <v>161498</v>
      </c>
      <c r="Q106" s="9">
        <v>136093</v>
      </c>
      <c r="R106" s="9">
        <v>94936</v>
      </c>
      <c r="S106" s="9">
        <v>51275</v>
      </c>
      <c r="T106" s="9">
        <v>101140</v>
      </c>
      <c r="V106" s="9">
        <v>129245</v>
      </c>
      <c r="W106" s="9">
        <v>97797</v>
      </c>
      <c r="X106" s="9">
        <v>40135</v>
      </c>
      <c r="Y106" s="9">
        <v>84802</v>
      </c>
    </row>
    <row r="107" spans="1:31">
      <c r="B107" s="9">
        <v>514167</v>
      </c>
      <c r="C107" s="9">
        <v>124272</v>
      </c>
      <c r="D107" s="9">
        <v>233091</v>
      </c>
      <c r="E107" s="9">
        <v>444838</v>
      </c>
      <c r="G107" s="9">
        <v>254943</v>
      </c>
      <c r="H107" s="9">
        <v>108261</v>
      </c>
      <c r="I107" s="9">
        <v>117333</v>
      </c>
      <c r="J107" s="9">
        <v>266795</v>
      </c>
      <c r="L107" s="9">
        <v>129023</v>
      </c>
      <c r="M107" s="9">
        <v>122572</v>
      </c>
      <c r="N107" s="9">
        <v>72772</v>
      </c>
      <c r="O107" s="9">
        <v>153045</v>
      </c>
      <c r="Q107" s="9">
        <v>133494</v>
      </c>
      <c r="R107" s="9">
        <v>108576</v>
      </c>
      <c r="S107" s="9">
        <v>48325</v>
      </c>
      <c r="T107" s="9">
        <v>94814</v>
      </c>
      <c r="V107" s="9">
        <v>130485</v>
      </c>
      <c r="W107" s="9">
        <v>178671</v>
      </c>
      <c r="X107" s="9">
        <v>37613</v>
      </c>
      <c r="Y107" s="9">
        <v>80592</v>
      </c>
    </row>
    <row r="108" spans="1:31">
      <c r="A108" s="10" t="s">
        <v>10</v>
      </c>
      <c r="B108" s="11">
        <f>AVERAGE(B78:B107)</f>
        <v>501042.96666666667</v>
      </c>
      <c r="C108" s="11">
        <f t="shared" ref="C108:E108" si="5">AVERAGE(C78:C107)</f>
        <v>117021.36666666667</v>
      </c>
      <c r="D108" s="11">
        <f t="shared" si="5"/>
        <v>229871.3</v>
      </c>
      <c r="E108" s="11">
        <f t="shared" si="5"/>
        <v>443143.23333333334</v>
      </c>
      <c r="F108" s="12"/>
      <c r="G108" s="11">
        <f>AVERAGE(G78:G107)</f>
        <v>250653.76666666666</v>
      </c>
      <c r="H108" s="11">
        <f t="shared" ref="H108:J108" si="6">AVERAGE(H78:H107)</f>
        <v>110748.93333333333</v>
      </c>
      <c r="I108" s="11">
        <f t="shared" si="6"/>
        <v>158720.79999999999</v>
      </c>
      <c r="J108" s="11">
        <f t="shared" si="6"/>
        <v>246170.03333333333</v>
      </c>
      <c r="K108" s="12"/>
      <c r="L108" s="11">
        <f>AVERAGE(L78:L107)</f>
        <v>130419.63333333333</v>
      </c>
      <c r="M108" s="11">
        <f t="shared" ref="M108:O108" si="7">AVERAGE(M78:M107)</f>
        <v>129553.1</v>
      </c>
      <c r="N108" s="11">
        <f>AVERAGE(N78:N107)</f>
        <v>76144.566666666666</v>
      </c>
      <c r="O108" s="11">
        <f t="shared" si="7"/>
        <v>147761.43333333332</v>
      </c>
      <c r="P108" s="12"/>
      <c r="Q108" s="11">
        <f>AVERAGE(Q78:Q107)</f>
        <v>132673.13333333333</v>
      </c>
      <c r="R108" s="11">
        <f>AVERAGE(R78:R107)</f>
        <v>126029.13333333333</v>
      </c>
      <c r="S108" s="11">
        <f t="shared" ref="S108:T108" si="8">AVERAGE(S78:S107)</f>
        <v>46780.466666666667</v>
      </c>
      <c r="T108" s="11">
        <f t="shared" si="8"/>
        <v>97015.666666666672</v>
      </c>
      <c r="U108" s="12"/>
      <c r="V108" s="11">
        <f>AVERAGE(V78:V107)</f>
        <v>130487</v>
      </c>
      <c r="W108" s="11">
        <f t="shared" ref="W108:Y108" si="9">AVERAGE(W78:W107)</f>
        <v>134010.23333333334</v>
      </c>
      <c r="X108" s="11">
        <f t="shared" si="9"/>
        <v>39158.833333333336</v>
      </c>
      <c r="Y108" s="11">
        <f t="shared" si="9"/>
        <v>83724.566666666666</v>
      </c>
    </row>
    <row r="110" spans="1:31" ht="15.75" thickBot="1"/>
    <row r="111" spans="1:31" ht="15.75" thickBot="1">
      <c r="B111" s="60" t="s">
        <v>0</v>
      </c>
      <c r="C111" s="61"/>
      <c r="D111" s="61"/>
      <c r="E111" s="61"/>
      <c r="G111" s="60" t="s">
        <v>0</v>
      </c>
      <c r="H111" s="61"/>
      <c r="I111" s="61"/>
      <c r="J111" s="61"/>
      <c r="L111" s="60" t="s">
        <v>0</v>
      </c>
      <c r="M111" s="61"/>
      <c r="N111" s="61"/>
      <c r="O111" s="61"/>
      <c r="Q111" s="60" t="s">
        <v>0</v>
      </c>
      <c r="R111" s="61"/>
      <c r="S111" s="61"/>
      <c r="T111" s="61"/>
      <c r="V111" s="60" t="s">
        <v>0</v>
      </c>
      <c r="W111" s="61"/>
      <c r="X111" s="61"/>
      <c r="Y111" s="61"/>
      <c r="AA111" s="20"/>
      <c r="AB111" s="20"/>
      <c r="AC111" s="20"/>
      <c r="AD111" s="20"/>
      <c r="AE111" s="20"/>
    </row>
    <row r="112" spans="1:31" ht="15.75" thickBot="1">
      <c r="B112" s="59" t="s">
        <v>21</v>
      </c>
      <c r="C112" s="59"/>
      <c r="D112" s="59"/>
      <c r="E112" s="59"/>
      <c r="G112" s="59" t="s">
        <v>22</v>
      </c>
      <c r="H112" s="59"/>
      <c r="I112" s="59"/>
      <c r="J112" s="59"/>
      <c r="L112" s="59" t="s">
        <v>23</v>
      </c>
      <c r="M112" s="59"/>
      <c r="N112" s="59"/>
      <c r="O112" s="59"/>
      <c r="Q112" s="59" t="s">
        <v>24</v>
      </c>
      <c r="R112" s="59"/>
      <c r="S112" s="59"/>
      <c r="T112" s="59"/>
      <c r="V112" s="59" t="s">
        <v>25</v>
      </c>
      <c r="W112" s="59"/>
      <c r="X112" s="59"/>
      <c r="Y112" s="59"/>
      <c r="AA112" s="21"/>
      <c r="AB112" s="21"/>
      <c r="AC112" s="21"/>
      <c r="AD112" s="21"/>
      <c r="AE112" s="21"/>
    </row>
    <row r="113" spans="2:25" ht="45.75" thickBot="1">
      <c r="B113" s="28" t="s">
        <v>6</v>
      </c>
      <c r="C113" s="44" t="s">
        <v>7</v>
      </c>
      <c r="D113" s="43" t="s">
        <v>8</v>
      </c>
      <c r="E113" s="43" t="s">
        <v>9</v>
      </c>
      <c r="G113" s="28" t="s">
        <v>6</v>
      </c>
      <c r="H113" s="44" t="s">
        <v>7</v>
      </c>
      <c r="I113" s="43" t="s">
        <v>8</v>
      </c>
      <c r="J113" s="43" t="s">
        <v>9</v>
      </c>
      <c r="L113" s="28" t="s">
        <v>6</v>
      </c>
      <c r="M113" s="44" t="s">
        <v>7</v>
      </c>
      <c r="N113" s="43" t="s">
        <v>8</v>
      </c>
      <c r="O113" s="43" t="s">
        <v>9</v>
      </c>
      <c r="Q113" s="28" t="s">
        <v>6</v>
      </c>
      <c r="R113" s="44" t="s">
        <v>7</v>
      </c>
      <c r="S113" s="43" t="s">
        <v>8</v>
      </c>
      <c r="T113" s="43" t="s">
        <v>9</v>
      </c>
      <c r="V113" s="28" t="s">
        <v>6</v>
      </c>
      <c r="W113" s="44" t="s">
        <v>7</v>
      </c>
      <c r="X113" s="43" t="s">
        <v>8</v>
      </c>
      <c r="Y113" s="43" t="s">
        <v>9</v>
      </c>
    </row>
    <row r="114" spans="2:25">
      <c r="B114" s="9">
        <v>4971927</v>
      </c>
      <c r="C114" s="9">
        <v>915063</v>
      </c>
      <c r="D114" s="9">
        <v>1914939</v>
      </c>
      <c r="E114" s="9">
        <v>4314793</v>
      </c>
      <c r="G114" s="9">
        <v>2430521</v>
      </c>
      <c r="H114" s="9">
        <v>919960</v>
      </c>
      <c r="I114" s="9">
        <v>1092399</v>
      </c>
      <c r="J114" s="9">
        <v>2444029</v>
      </c>
      <c r="L114" s="9">
        <v>1072723</v>
      </c>
      <c r="M114" s="9">
        <v>1013349</v>
      </c>
      <c r="N114" s="9">
        <v>682978</v>
      </c>
      <c r="O114" s="9">
        <v>1565574</v>
      </c>
      <c r="Q114" s="9">
        <v>1073392</v>
      </c>
      <c r="R114" s="9">
        <v>1043743</v>
      </c>
      <c r="S114" s="9">
        <v>454222</v>
      </c>
      <c r="T114" s="9">
        <v>1145437</v>
      </c>
      <c r="V114" s="9">
        <v>1066128</v>
      </c>
      <c r="W114" s="9">
        <v>1071939</v>
      </c>
      <c r="X114" s="9">
        <v>401744</v>
      </c>
      <c r="Y114" s="9">
        <v>885694</v>
      </c>
    </row>
    <row r="115" spans="2:25">
      <c r="B115" s="9">
        <v>4891602</v>
      </c>
      <c r="C115" s="9">
        <v>919346</v>
      </c>
      <c r="D115" s="9">
        <v>1919853</v>
      </c>
      <c r="E115" s="9">
        <v>4475576</v>
      </c>
      <c r="G115" s="9">
        <v>2362418</v>
      </c>
      <c r="H115" s="9">
        <v>912831</v>
      </c>
      <c r="I115" s="9">
        <v>1138835</v>
      </c>
      <c r="J115" s="9">
        <v>2503639</v>
      </c>
      <c r="L115" s="9">
        <v>1084992</v>
      </c>
      <c r="M115" s="9">
        <v>986693</v>
      </c>
      <c r="N115" s="9">
        <v>669012</v>
      </c>
      <c r="O115" s="9">
        <v>1615530</v>
      </c>
      <c r="Q115" s="9">
        <v>1059268</v>
      </c>
      <c r="R115" s="9">
        <v>1085559</v>
      </c>
      <c r="S115" s="9">
        <v>443138</v>
      </c>
      <c r="T115" s="9">
        <v>1037027</v>
      </c>
      <c r="V115" s="9">
        <v>1075027</v>
      </c>
      <c r="W115" s="9">
        <v>1029326</v>
      </c>
      <c r="X115" s="9">
        <v>407724</v>
      </c>
      <c r="Y115" s="9">
        <v>931171</v>
      </c>
    </row>
    <row r="116" spans="2:25">
      <c r="B116" s="9">
        <v>5117052</v>
      </c>
      <c r="C116" s="9">
        <v>923388</v>
      </c>
      <c r="D116" s="9">
        <v>1902418</v>
      </c>
      <c r="E116" s="9">
        <v>4462392</v>
      </c>
      <c r="G116" s="9">
        <v>2399494</v>
      </c>
      <c r="H116" s="9">
        <v>893539</v>
      </c>
      <c r="I116" s="9">
        <v>1071482</v>
      </c>
      <c r="J116" s="9">
        <v>2464960</v>
      </c>
      <c r="L116" s="9">
        <v>1061593</v>
      </c>
      <c r="M116" s="9">
        <v>965252</v>
      </c>
      <c r="N116" s="9">
        <v>649323</v>
      </c>
      <c r="O116" s="9">
        <v>1646731</v>
      </c>
      <c r="Q116" s="9">
        <v>1069268</v>
      </c>
      <c r="R116" s="9">
        <v>1089753</v>
      </c>
      <c r="S116" s="9">
        <v>453933</v>
      </c>
      <c r="T116" s="9">
        <v>1051432</v>
      </c>
      <c r="V116" s="9">
        <v>1053883</v>
      </c>
      <c r="W116" s="9">
        <v>1051559</v>
      </c>
      <c r="X116" s="9">
        <v>397782</v>
      </c>
      <c r="Y116" s="9">
        <v>967071</v>
      </c>
    </row>
    <row r="117" spans="2:25">
      <c r="B117" s="9">
        <v>5146148</v>
      </c>
      <c r="C117" s="9">
        <v>938582</v>
      </c>
      <c r="D117" s="9">
        <v>1980899</v>
      </c>
      <c r="E117" s="9">
        <v>4534367</v>
      </c>
      <c r="G117" s="9">
        <v>2347205</v>
      </c>
      <c r="H117" s="9">
        <v>930451</v>
      </c>
      <c r="I117" s="9">
        <v>1059115</v>
      </c>
      <c r="J117" s="9">
        <v>2570629</v>
      </c>
      <c r="L117" s="9">
        <v>1067402</v>
      </c>
      <c r="M117" s="9">
        <v>1009490</v>
      </c>
      <c r="N117" s="9">
        <v>639409</v>
      </c>
      <c r="O117" s="9">
        <v>1493980</v>
      </c>
      <c r="Q117" s="9">
        <v>1068140</v>
      </c>
      <c r="R117" s="9">
        <v>1084944</v>
      </c>
      <c r="S117" s="9">
        <v>485659</v>
      </c>
      <c r="T117" s="9">
        <v>1061398</v>
      </c>
      <c r="V117" s="9">
        <v>1118179</v>
      </c>
      <c r="W117" s="9">
        <v>1072659</v>
      </c>
      <c r="X117" s="9">
        <v>394070</v>
      </c>
      <c r="Y117" s="9">
        <v>925769</v>
      </c>
    </row>
    <row r="118" spans="2:25">
      <c r="B118" s="9">
        <v>4970912</v>
      </c>
      <c r="C118" s="9">
        <v>917359</v>
      </c>
      <c r="D118" s="9">
        <v>1899408</v>
      </c>
      <c r="E118" s="9">
        <v>4352931</v>
      </c>
      <c r="G118" s="9">
        <v>2390848</v>
      </c>
      <c r="H118" s="9">
        <v>996830</v>
      </c>
      <c r="I118" s="9">
        <v>1106436</v>
      </c>
      <c r="J118" s="9">
        <v>2375152</v>
      </c>
      <c r="L118" s="9">
        <v>1073689</v>
      </c>
      <c r="M118" s="9">
        <v>1049663</v>
      </c>
      <c r="N118" s="9">
        <v>667313</v>
      </c>
      <c r="O118" s="9">
        <v>1476894</v>
      </c>
      <c r="Q118" s="9">
        <v>1041480</v>
      </c>
      <c r="R118" s="9">
        <v>1149170</v>
      </c>
      <c r="S118" s="9">
        <v>447115</v>
      </c>
      <c r="T118" s="9">
        <v>970869</v>
      </c>
      <c r="V118" s="9">
        <v>1124000</v>
      </c>
      <c r="W118" s="9">
        <v>1014897</v>
      </c>
      <c r="X118" s="9">
        <v>403096</v>
      </c>
      <c r="Y118" s="9">
        <v>967913</v>
      </c>
    </row>
    <row r="119" spans="2:25">
      <c r="B119" s="9">
        <v>4966348</v>
      </c>
      <c r="C119" s="9">
        <v>916938</v>
      </c>
      <c r="D119" s="9">
        <v>1970069</v>
      </c>
      <c r="E119" s="9">
        <v>4454194</v>
      </c>
      <c r="G119" s="9">
        <v>2409309</v>
      </c>
      <c r="H119" s="9">
        <v>889831</v>
      </c>
      <c r="I119" s="9">
        <v>1059297</v>
      </c>
      <c r="J119" s="9">
        <v>2515585</v>
      </c>
      <c r="L119" s="9">
        <v>1112725</v>
      </c>
      <c r="M119" s="9">
        <v>1075908</v>
      </c>
      <c r="N119" s="9">
        <v>668731</v>
      </c>
      <c r="O119" s="9">
        <v>1543145</v>
      </c>
      <c r="Q119" s="9">
        <v>1054252</v>
      </c>
      <c r="R119" s="9">
        <v>1090860</v>
      </c>
      <c r="S119" s="9">
        <v>455688</v>
      </c>
      <c r="T119" s="9">
        <v>953094</v>
      </c>
      <c r="V119" s="9">
        <v>1058963</v>
      </c>
      <c r="W119" s="9">
        <v>1080889</v>
      </c>
      <c r="X119" s="9">
        <v>418220</v>
      </c>
      <c r="Y119" s="9">
        <v>957515</v>
      </c>
    </row>
    <row r="120" spans="2:25">
      <c r="B120" s="9">
        <v>4848956</v>
      </c>
      <c r="C120" s="9">
        <v>920779</v>
      </c>
      <c r="D120" s="9">
        <v>1928778</v>
      </c>
      <c r="E120" s="9">
        <v>2447571</v>
      </c>
      <c r="G120" s="9">
        <v>2400441</v>
      </c>
      <c r="H120" s="9">
        <v>907256</v>
      </c>
      <c r="I120" s="9">
        <v>1027047</v>
      </c>
      <c r="J120" s="9">
        <v>2588911</v>
      </c>
      <c r="L120" s="9">
        <v>1071338</v>
      </c>
      <c r="M120" s="9">
        <v>1102268</v>
      </c>
      <c r="N120" s="9">
        <v>633553</v>
      </c>
      <c r="O120" s="9">
        <v>1568852</v>
      </c>
      <c r="Q120" s="9">
        <v>1045630</v>
      </c>
      <c r="R120" s="9">
        <v>1173581</v>
      </c>
      <c r="S120" s="9">
        <v>446605</v>
      </c>
      <c r="T120" s="9">
        <v>1087087</v>
      </c>
      <c r="V120" s="9">
        <v>1064625</v>
      </c>
      <c r="W120" s="9">
        <v>1067931</v>
      </c>
      <c r="X120" s="9">
        <v>414247</v>
      </c>
      <c r="Y120" s="9">
        <v>963864</v>
      </c>
    </row>
    <row r="121" spans="2:25">
      <c r="B121" s="9">
        <v>4862468</v>
      </c>
      <c r="C121" s="9">
        <v>925149</v>
      </c>
      <c r="D121" s="9">
        <v>1941126</v>
      </c>
      <c r="E121" s="9">
        <v>4507572</v>
      </c>
      <c r="G121" s="9">
        <v>2373240</v>
      </c>
      <c r="H121" s="9">
        <v>1077995</v>
      </c>
      <c r="I121" s="9">
        <v>1075685</v>
      </c>
      <c r="J121" s="9">
        <v>2401004</v>
      </c>
      <c r="L121" s="9">
        <v>1079629</v>
      </c>
      <c r="M121" s="9">
        <v>1080318</v>
      </c>
      <c r="N121" s="9">
        <v>700346</v>
      </c>
      <c r="O121" s="9">
        <v>1662563</v>
      </c>
      <c r="Q121" s="9">
        <v>1058575</v>
      </c>
      <c r="R121" s="9">
        <v>1160041</v>
      </c>
      <c r="S121" s="9">
        <v>448841</v>
      </c>
      <c r="T121" s="9">
        <v>1056992</v>
      </c>
      <c r="V121" s="9">
        <v>1097680</v>
      </c>
      <c r="W121" s="9">
        <v>1156644</v>
      </c>
      <c r="X121" s="9">
        <v>388710</v>
      </c>
      <c r="Y121" s="9">
        <v>966429</v>
      </c>
    </row>
    <row r="122" spans="2:25">
      <c r="B122" s="9">
        <v>5007711</v>
      </c>
      <c r="C122" s="9">
        <v>941377</v>
      </c>
      <c r="D122" s="9">
        <v>1940351</v>
      </c>
      <c r="E122" s="9">
        <v>4249916</v>
      </c>
      <c r="G122" s="9">
        <v>2432210</v>
      </c>
      <c r="H122" s="9">
        <v>991135</v>
      </c>
      <c r="I122" s="9">
        <v>1012043</v>
      </c>
      <c r="J122" s="9">
        <v>2498697</v>
      </c>
      <c r="L122" s="9">
        <v>1090115</v>
      </c>
      <c r="M122" s="9">
        <v>928190</v>
      </c>
      <c r="N122" s="9">
        <v>597097</v>
      </c>
      <c r="O122" s="9">
        <v>1585168</v>
      </c>
      <c r="Q122" s="9">
        <v>1083844</v>
      </c>
      <c r="R122" s="9">
        <v>1074169</v>
      </c>
      <c r="S122" s="9">
        <v>438316</v>
      </c>
      <c r="T122" s="9">
        <v>1021940</v>
      </c>
      <c r="V122" s="9">
        <v>1082608</v>
      </c>
      <c r="W122" s="9">
        <v>1084413</v>
      </c>
      <c r="X122" s="9">
        <v>389182</v>
      </c>
      <c r="Y122" s="9">
        <v>926972</v>
      </c>
    </row>
    <row r="123" spans="2:25">
      <c r="B123" s="9">
        <v>5002295</v>
      </c>
      <c r="C123" s="9">
        <v>973136</v>
      </c>
      <c r="D123" s="9">
        <v>1907032</v>
      </c>
      <c r="E123" s="9">
        <v>4502519</v>
      </c>
      <c r="G123" s="9">
        <v>2383873</v>
      </c>
      <c r="H123" s="9">
        <v>918750</v>
      </c>
      <c r="I123" s="9">
        <v>1126986</v>
      </c>
      <c r="J123" s="9">
        <v>678539</v>
      </c>
      <c r="L123" s="9">
        <v>1062336</v>
      </c>
      <c r="M123" s="9">
        <v>989137</v>
      </c>
      <c r="N123" s="9">
        <v>660655</v>
      </c>
      <c r="O123" s="9">
        <v>1585795</v>
      </c>
      <c r="Q123" s="9">
        <v>1053939</v>
      </c>
      <c r="R123" s="9">
        <v>1068958</v>
      </c>
      <c r="S123" s="9">
        <v>440830</v>
      </c>
      <c r="T123" s="9">
        <v>1060479</v>
      </c>
      <c r="V123" s="9">
        <v>1078836</v>
      </c>
      <c r="W123" s="9">
        <v>1110515</v>
      </c>
      <c r="X123" s="9">
        <v>403864</v>
      </c>
      <c r="Y123" s="9">
        <v>942774</v>
      </c>
    </row>
    <row r="124" spans="2:25">
      <c r="B124" s="9">
        <v>4906948</v>
      </c>
      <c r="C124" s="9">
        <v>917465</v>
      </c>
      <c r="D124" s="9">
        <v>1925323</v>
      </c>
      <c r="E124" s="9">
        <v>4385120</v>
      </c>
      <c r="G124" s="9">
        <v>2376751</v>
      </c>
      <c r="H124" s="9">
        <v>986796</v>
      </c>
      <c r="I124" s="9">
        <v>1071449</v>
      </c>
      <c r="J124" s="9">
        <v>2579075</v>
      </c>
      <c r="L124" s="9">
        <v>1060362</v>
      </c>
      <c r="M124" s="9">
        <v>1189846</v>
      </c>
      <c r="N124" s="9">
        <v>579549</v>
      </c>
      <c r="O124" s="9">
        <v>1546658</v>
      </c>
      <c r="Q124" s="9">
        <v>1220710</v>
      </c>
      <c r="R124" s="9">
        <v>1155642</v>
      </c>
      <c r="S124" s="9">
        <v>447197</v>
      </c>
      <c r="T124" s="9">
        <v>1050446</v>
      </c>
      <c r="V124" s="9">
        <v>1078396</v>
      </c>
      <c r="W124" s="9">
        <v>1077779</v>
      </c>
      <c r="X124" s="9">
        <v>406138</v>
      </c>
      <c r="Y124" s="9">
        <v>996816</v>
      </c>
    </row>
    <row r="125" spans="2:25">
      <c r="B125" s="9">
        <v>4938800</v>
      </c>
      <c r="C125" s="9">
        <v>916078</v>
      </c>
      <c r="D125" s="9">
        <v>3004255</v>
      </c>
      <c r="E125" s="9">
        <v>4527636</v>
      </c>
      <c r="G125" s="9">
        <v>2285515</v>
      </c>
      <c r="H125" s="9">
        <v>920685</v>
      </c>
      <c r="I125" s="9">
        <v>1035400</v>
      </c>
      <c r="J125" s="9">
        <v>2337028</v>
      </c>
      <c r="L125" s="9">
        <v>1055926</v>
      </c>
      <c r="M125" s="9">
        <v>1043909</v>
      </c>
      <c r="N125" s="9">
        <v>593117</v>
      </c>
      <c r="O125" s="9">
        <v>1501847</v>
      </c>
      <c r="Q125" s="9">
        <v>1380026</v>
      </c>
      <c r="R125" s="9">
        <v>1082310</v>
      </c>
      <c r="S125" s="9">
        <v>438590</v>
      </c>
      <c r="T125" s="9">
        <v>1048023</v>
      </c>
      <c r="V125" s="9">
        <v>1079307</v>
      </c>
      <c r="W125" s="9">
        <v>1170579</v>
      </c>
      <c r="X125" s="9">
        <v>396699</v>
      </c>
      <c r="Y125" s="9">
        <v>953281</v>
      </c>
    </row>
    <row r="126" spans="2:25">
      <c r="B126" s="9">
        <v>4976673</v>
      </c>
      <c r="C126" s="9">
        <v>919277</v>
      </c>
      <c r="D126" s="9">
        <v>1925193</v>
      </c>
      <c r="E126" s="9">
        <v>4336643</v>
      </c>
      <c r="G126" s="9">
        <v>2380804</v>
      </c>
      <c r="H126" s="9">
        <v>902511</v>
      </c>
      <c r="I126" s="9">
        <v>1034358</v>
      </c>
      <c r="J126" s="9">
        <v>2476702</v>
      </c>
      <c r="L126" s="9">
        <v>1200531</v>
      </c>
      <c r="M126" s="9">
        <v>1075569</v>
      </c>
      <c r="N126" s="9">
        <v>655281</v>
      </c>
      <c r="O126" s="9">
        <v>1525410</v>
      </c>
      <c r="Q126" s="9">
        <v>1208107</v>
      </c>
      <c r="R126" s="9">
        <v>1082148</v>
      </c>
      <c r="S126" s="9">
        <v>435951</v>
      </c>
      <c r="T126" s="9">
        <v>963861</v>
      </c>
      <c r="V126" s="9">
        <v>1077069</v>
      </c>
      <c r="W126" s="9">
        <v>1164357</v>
      </c>
      <c r="X126" s="9">
        <v>390724</v>
      </c>
      <c r="Y126" s="9">
        <v>950996</v>
      </c>
    </row>
    <row r="127" spans="2:25">
      <c r="B127" s="9">
        <v>5087384</v>
      </c>
      <c r="C127" s="9">
        <v>936123</v>
      </c>
      <c r="D127" s="9">
        <v>1904484</v>
      </c>
      <c r="E127" s="9">
        <v>2394490</v>
      </c>
      <c r="G127" s="9">
        <v>2387168</v>
      </c>
      <c r="H127" s="9">
        <v>913744</v>
      </c>
      <c r="I127" s="9">
        <v>994249</v>
      </c>
      <c r="J127" s="9">
        <v>2434970</v>
      </c>
      <c r="L127" s="9">
        <v>1079265</v>
      </c>
      <c r="M127" s="9">
        <v>1171306</v>
      </c>
      <c r="N127" s="9">
        <v>604940</v>
      </c>
      <c r="O127" s="9">
        <v>1614187</v>
      </c>
      <c r="Q127" s="9">
        <v>1516415</v>
      </c>
      <c r="R127" s="9">
        <v>1069154</v>
      </c>
      <c r="S127" s="9">
        <v>446001</v>
      </c>
      <c r="T127" s="9">
        <v>984182</v>
      </c>
      <c r="V127" s="9">
        <v>1062897</v>
      </c>
      <c r="W127" s="9">
        <v>1079575</v>
      </c>
      <c r="X127" s="9">
        <v>386023</v>
      </c>
      <c r="Y127" s="9">
        <v>939620</v>
      </c>
    </row>
    <row r="128" spans="2:25">
      <c r="B128" s="9">
        <v>5033534</v>
      </c>
      <c r="C128" s="9">
        <v>942408</v>
      </c>
      <c r="D128" s="9">
        <v>1930604</v>
      </c>
      <c r="E128" s="9">
        <v>4170131</v>
      </c>
      <c r="G128" s="9">
        <v>2438693</v>
      </c>
      <c r="H128" s="9">
        <v>945125</v>
      </c>
      <c r="I128" s="9">
        <v>1053214</v>
      </c>
      <c r="J128" s="9">
        <v>2485286</v>
      </c>
      <c r="L128" s="9">
        <v>1107158</v>
      </c>
      <c r="M128" s="9">
        <v>1080808</v>
      </c>
      <c r="N128" s="9">
        <v>596580</v>
      </c>
      <c r="O128" s="9">
        <v>1598221</v>
      </c>
      <c r="Q128" s="9">
        <v>1238010</v>
      </c>
      <c r="R128" s="9">
        <v>1020062</v>
      </c>
      <c r="S128" s="9">
        <v>475823</v>
      </c>
      <c r="T128" s="9">
        <v>1065089</v>
      </c>
      <c r="V128" s="9">
        <v>1118367</v>
      </c>
      <c r="W128" s="9">
        <v>1075280</v>
      </c>
      <c r="X128" s="9">
        <v>391021</v>
      </c>
      <c r="Y128" s="9">
        <v>953756</v>
      </c>
    </row>
    <row r="129" spans="1:25">
      <c r="B129" s="9">
        <v>5080153</v>
      </c>
      <c r="C129" s="9">
        <v>1001033</v>
      </c>
      <c r="D129" s="9">
        <v>1932774</v>
      </c>
      <c r="E129" s="9">
        <v>4537455</v>
      </c>
      <c r="G129" s="9">
        <v>2377798</v>
      </c>
      <c r="H129" s="9">
        <v>971202</v>
      </c>
      <c r="I129" s="9">
        <v>1043469</v>
      </c>
      <c r="J129" s="9">
        <v>2328696</v>
      </c>
      <c r="L129" s="9">
        <v>1083319</v>
      </c>
      <c r="M129" s="9">
        <v>991576</v>
      </c>
      <c r="N129" s="9">
        <v>728686</v>
      </c>
      <c r="O129" s="9">
        <v>1593158</v>
      </c>
      <c r="Q129" s="9">
        <v>1093925</v>
      </c>
      <c r="R129" s="9">
        <v>1158018</v>
      </c>
      <c r="S129" s="9">
        <v>430737</v>
      </c>
      <c r="T129" s="9">
        <v>1047610</v>
      </c>
      <c r="V129" s="9">
        <v>1085946</v>
      </c>
      <c r="W129" s="9">
        <v>1053813</v>
      </c>
      <c r="X129" s="9">
        <v>396647</v>
      </c>
      <c r="Y129" s="9">
        <v>970623</v>
      </c>
    </row>
    <row r="130" spans="1:25">
      <c r="B130" s="9">
        <v>5218528</v>
      </c>
      <c r="C130" s="9">
        <v>957101</v>
      </c>
      <c r="D130" s="9">
        <v>1989074</v>
      </c>
      <c r="E130" s="9">
        <v>4436453</v>
      </c>
      <c r="G130" s="9">
        <v>2328288</v>
      </c>
      <c r="H130" s="9">
        <v>994665</v>
      </c>
      <c r="I130" s="9">
        <v>1122431</v>
      </c>
      <c r="J130" s="9">
        <v>2460046</v>
      </c>
      <c r="L130" s="9">
        <v>1077676</v>
      </c>
      <c r="M130" s="9">
        <v>964925</v>
      </c>
      <c r="N130" s="9">
        <v>663394</v>
      </c>
      <c r="O130" s="9">
        <v>1430120</v>
      </c>
      <c r="Q130" s="9">
        <v>1495852</v>
      </c>
      <c r="R130" s="9">
        <v>1082760</v>
      </c>
      <c r="S130" s="9">
        <v>443682</v>
      </c>
      <c r="T130" s="9">
        <v>1053852</v>
      </c>
      <c r="V130" s="9">
        <v>1082519</v>
      </c>
      <c r="W130" s="9">
        <v>1087633</v>
      </c>
      <c r="X130" s="9">
        <v>412701</v>
      </c>
      <c r="Y130" s="9">
        <v>915983</v>
      </c>
    </row>
    <row r="131" spans="1:25">
      <c r="B131" s="9">
        <v>4869854</v>
      </c>
      <c r="C131" s="9">
        <v>956677</v>
      </c>
      <c r="D131" s="9">
        <v>1961025</v>
      </c>
      <c r="E131" s="9">
        <v>4552830</v>
      </c>
      <c r="G131" s="9">
        <v>2407478</v>
      </c>
      <c r="H131" s="9">
        <v>948524</v>
      </c>
      <c r="I131" s="9">
        <v>1113859</v>
      </c>
      <c r="J131" s="9">
        <v>2431801</v>
      </c>
      <c r="L131" s="9">
        <v>1102808</v>
      </c>
      <c r="M131" s="9">
        <v>1083489</v>
      </c>
      <c r="N131" s="9">
        <v>647609</v>
      </c>
      <c r="O131" s="9">
        <v>1599252</v>
      </c>
      <c r="Q131" s="9">
        <v>1216511</v>
      </c>
      <c r="R131" s="9">
        <v>1079144</v>
      </c>
      <c r="S131" s="9">
        <v>486006</v>
      </c>
      <c r="T131" s="9">
        <v>1027922</v>
      </c>
      <c r="V131" s="9">
        <v>1081906</v>
      </c>
      <c r="W131" s="9">
        <v>1080234</v>
      </c>
      <c r="X131" s="9">
        <v>391164</v>
      </c>
      <c r="Y131" s="9">
        <v>886495</v>
      </c>
    </row>
    <row r="132" spans="1:25">
      <c r="B132" s="9">
        <v>4981634</v>
      </c>
      <c r="C132" s="9">
        <v>963856</v>
      </c>
      <c r="D132" s="9">
        <v>1942619</v>
      </c>
      <c r="E132" s="9">
        <v>4516505</v>
      </c>
      <c r="G132" s="9">
        <v>2342643</v>
      </c>
      <c r="H132" s="9">
        <v>897947</v>
      </c>
      <c r="I132" s="9">
        <v>1044993</v>
      </c>
      <c r="J132" s="9">
        <v>2412352</v>
      </c>
      <c r="L132" s="9">
        <v>1117227</v>
      </c>
      <c r="M132" s="9">
        <v>964213</v>
      </c>
      <c r="N132" s="9">
        <v>653463</v>
      </c>
      <c r="O132" s="9">
        <v>1610001</v>
      </c>
      <c r="Q132" s="9">
        <v>1075690</v>
      </c>
      <c r="R132" s="9">
        <v>1097673</v>
      </c>
      <c r="S132" s="9">
        <v>503012</v>
      </c>
      <c r="T132" s="9">
        <v>1056806</v>
      </c>
      <c r="V132" s="9">
        <v>1128588</v>
      </c>
      <c r="W132" s="9">
        <v>1087030</v>
      </c>
      <c r="X132" s="9">
        <v>407830</v>
      </c>
      <c r="Y132" s="9">
        <v>942531</v>
      </c>
    </row>
    <row r="133" spans="1:25">
      <c r="B133" s="9">
        <v>4993626</v>
      </c>
      <c r="C133" s="9">
        <v>925920</v>
      </c>
      <c r="D133" s="9">
        <v>1986667</v>
      </c>
      <c r="E133" s="9">
        <v>4529579</v>
      </c>
      <c r="G133" s="9">
        <v>2572209</v>
      </c>
      <c r="H133" s="9">
        <v>952659</v>
      </c>
      <c r="I133" s="9">
        <v>1128125</v>
      </c>
      <c r="J133" s="9">
        <v>2485790</v>
      </c>
      <c r="L133" s="9">
        <v>1098398</v>
      </c>
      <c r="M133" s="9">
        <v>1099020</v>
      </c>
      <c r="N133" s="9">
        <v>651624</v>
      </c>
      <c r="O133" s="9">
        <v>1592804</v>
      </c>
      <c r="Q133" s="9">
        <v>1067304</v>
      </c>
      <c r="R133" s="9">
        <v>1087721</v>
      </c>
      <c r="S133" s="9">
        <v>432456</v>
      </c>
      <c r="T133" s="9">
        <v>1063701</v>
      </c>
      <c r="V133" s="9">
        <v>1089434</v>
      </c>
      <c r="W133" s="9">
        <v>1075467</v>
      </c>
      <c r="X133" s="9">
        <v>399329</v>
      </c>
      <c r="Y133" s="9">
        <v>934087</v>
      </c>
    </row>
    <row r="134" spans="1:25">
      <c r="B134" s="9">
        <v>4957004</v>
      </c>
      <c r="C134" s="9">
        <v>920517</v>
      </c>
      <c r="D134" s="9">
        <v>1921925</v>
      </c>
      <c r="E134" s="9">
        <v>4498481</v>
      </c>
      <c r="G134" s="9">
        <v>2410705</v>
      </c>
      <c r="H134" s="9">
        <v>890461</v>
      </c>
      <c r="I134" s="9">
        <v>1109098</v>
      </c>
      <c r="J134" s="9">
        <v>2646903</v>
      </c>
      <c r="L134" s="9">
        <v>1078667</v>
      </c>
      <c r="M134" s="9">
        <v>1067052</v>
      </c>
      <c r="N134" s="9">
        <v>648627</v>
      </c>
      <c r="O134" s="9">
        <v>1564888</v>
      </c>
      <c r="Q134" s="9">
        <v>1063380</v>
      </c>
      <c r="R134" s="9">
        <v>1075719</v>
      </c>
      <c r="S134" s="9">
        <v>442331</v>
      </c>
      <c r="T134" s="9">
        <v>978742</v>
      </c>
      <c r="V134" s="9">
        <v>1056852</v>
      </c>
      <c r="W134" s="9">
        <v>1071967</v>
      </c>
      <c r="X134" s="9">
        <v>404663</v>
      </c>
      <c r="Y134" s="9">
        <v>921494</v>
      </c>
    </row>
    <row r="135" spans="1:25">
      <c r="B135" s="9">
        <v>4998767</v>
      </c>
      <c r="C135" s="9">
        <v>920770</v>
      </c>
      <c r="D135" s="9">
        <v>1923372</v>
      </c>
      <c r="E135" s="9">
        <v>2467129</v>
      </c>
      <c r="G135" s="9">
        <v>2378026</v>
      </c>
      <c r="H135" s="9">
        <v>925978</v>
      </c>
      <c r="I135" s="9">
        <v>1021900</v>
      </c>
      <c r="J135" s="9">
        <v>2484393</v>
      </c>
      <c r="L135" s="9">
        <v>1082287</v>
      </c>
      <c r="M135" s="9">
        <v>1051660</v>
      </c>
      <c r="N135" s="9">
        <v>606669</v>
      </c>
      <c r="O135" s="9">
        <v>1478737</v>
      </c>
      <c r="Q135" s="9">
        <v>1098412</v>
      </c>
      <c r="R135" s="9">
        <v>1095963</v>
      </c>
      <c r="S135" s="9">
        <v>434109</v>
      </c>
      <c r="T135" s="9">
        <v>1058526</v>
      </c>
      <c r="V135" s="9">
        <v>1127821</v>
      </c>
      <c r="W135" s="9">
        <v>1104530</v>
      </c>
      <c r="X135" s="9">
        <v>388110</v>
      </c>
      <c r="Y135" s="9">
        <v>957314</v>
      </c>
    </row>
    <row r="136" spans="1:25">
      <c r="B136" s="9">
        <v>4903188</v>
      </c>
      <c r="C136" s="9">
        <v>916138</v>
      </c>
      <c r="D136" s="9">
        <v>1926569</v>
      </c>
      <c r="E136" s="9">
        <v>4201111</v>
      </c>
      <c r="G136" s="9">
        <v>2349237</v>
      </c>
      <c r="H136" s="9">
        <v>944948</v>
      </c>
      <c r="I136" s="9">
        <v>1000716</v>
      </c>
      <c r="J136" s="9">
        <v>273838</v>
      </c>
      <c r="L136" s="9">
        <v>1066009</v>
      </c>
      <c r="M136" s="9">
        <v>1068196</v>
      </c>
      <c r="N136" s="9">
        <v>675991</v>
      </c>
      <c r="O136" s="9">
        <v>1513593</v>
      </c>
      <c r="Q136" s="9">
        <v>1071396</v>
      </c>
      <c r="R136" s="9">
        <v>1079377</v>
      </c>
      <c r="S136" s="9">
        <v>440780</v>
      </c>
      <c r="T136" s="9">
        <v>1145390</v>
      </c>
      <c r="V136" s="9">
        <v>1094203</v>
      </c>
      <c r="W136" s="9">
        <v>1071556</v>
      </c>
      <c r="X136" s="9">
        <v>416642</v>
      </c>
      <c r="Y136" s="9">
        <v>932333</v>
      </c>
    </row>
    <row r="137" spans="1:25">
      <c r="B137" s="9">
        <v>4870373</v>
      </c>
      <c r="C137" s="9">
        <v>935451</v>
      </c>
      <c r="D137" s="9">
        <v>1955787</v>
      </c>
      <c r="E137" s="9">
        <v>4926160</v>
      </c>
      <c r="G137" s="9">
        <v>2342845</v>
      </c>
      <c r="H137" s="9">
        <v>890535</v>
      </c>
      <c r="I137" s="9">
        <v>1062671</v>
      </c>
      <c r="J137" s="9">
        <v>2474001</v>
      </c>
      <c r="L137" s="9">
        <v>1066274</v>
      </c>
      <c r="M137" s="9">
        <v>982127</v>
      </c>
      <c r="N137" s="9">
        <v>709955</v>
      </c>
      <c r="O137" s="9">
        <v>1546312</v>
      </c>
      <c r="Q137" s="9">
        <v>1053626</v>
      </c>
      <c r="R137" s="9">
        <v>1078879</v>
      </c>
      <c r="S137" s="9">
        <v>471734</v>
      </c>
      <c r="T137" s="9">
        <v>1044169</v>
      </c>
      <c r="V137" s="9">
        <v>1059037</v>
      </c>
      <c r="W137" s="9">
        <v>1078466</v>
      </c>
      <c r="X137" s="9">
        <v>423182</v>
      </c>
      <c r="Y137" s="9">
        <v>953465</v>
      </c>
    </row>
    <row r="138" spans="1:25">
      <c r="B138" s="9">
        <v>4875883</v>
      </c>
      <c r="C138" s="9">
        <v>943345</v>
      </c>
      <c r="D138" s="9">
        <v>1892963</v>
      </c>
      <c r="E138" s="9">
        <v>4505133</v>
      </c>
      <c r="G138" s="9">
        <v>2417359</v>
      </c>
      <c r="H138" s="9">
        <v>952120</v>
      </c>
      <c r="I138" s="9">
        <v>2097187</v>
      </c>
      <c r="J138" s="9">
        <v>2426582</v>
      </c>
      <c r="L138" s="9">
        <v>1077252</v>
      </c>
      <c r="M138" s="9">
        <v>986113</v>
      </c>
      <c r="N138" s="9">
        <v>594368</v>
      </c>
      <c r="O138" s="9">
        <v>1582915</v>
      </c>
      <c r="Q138" s="9">
        <v>1071556</v>
      </c>
      <c r="R138" s="9">
        <v>1073921</v>
      </c>
      <c r="S138" s="9">
        <v>462402</v>
      </c>
      <c r="T138" s="9">
        <v>1041761</v>
      </c>
      <c r="V138" s="9">
        <v>1067897</v>
      </c>
      <c r="W138" s="9">
        <v>1065757</v>
      </c>
      <c r="X138" s="9">
        <v>393188</v>
      </c>
      <c r="Y138" s="9">
        <v>901066</v>
      </c>
    </row>
    <row r="139" spans="1:25">
      <c r="B139" s="9">
        <v>4979901</v>
      </c>
      <c r="C139" s="9">
        <v>919445</v>
      </c>
      <c r="D139" s="9">
        <v>1953413</v>
      </c>
      <c r="E139" s="9">
        <v>4587389</v>
      </c>
      <c r="G139" s="9">
        <v>2352506</v>
      </c>
      <c r="H139" s="9">
        <v>889659</v>
      </c>
      <c r="I139" s="9">
        <v>1049201</v>
      </c>
      <c r="J139" s="9">
        <v>2545282</v>
      </c>
      <c r="L139" s="9">
        <v>1040571</v>
      </c>
      <c r="M139" s="9">
        <v>1024452</v>
      </c>
      <c r="N139" s="9">
        <v>708377</v>
      </c>
      <c r="O139" s="9">
        <v>1667039</v>
      </c>
      <c r="Q139" s="9">
        <v>1046760</v>
      </c>
      <c r="R139" s="9">
        <v>1143971</v>
      </c>
      <c r="S139" s="9">
        <v>448779</v>
      </c>
      <c r="T139" s="9">
        <v>1048309</v>
      </c>
      <c r="V139" s="9">
        <v>1081752</v>
      </c>
      <c r="W139" s="9">
        <v>1089865</v>
      </c>
      <c r="X139" s="9">
        <v>394937</v>
      </c>
      <c r="Y139" s="9">
        <v>867241</v>
      </c>
    </row>
    <row r="140" spans="1:25">
      <c r="B140" s="9">
        <v>4850070</v>
      </c>
      <c r="C140" s="9">
        <v>924281</v>
      </c>
      <c r="D140" s="9">
        <v>1944453</v>
      </c>
      <c r="E140" s="9">
        <v>4489582</v>
      </c>
      <c r="G140" s="9">
        <v>2325208</v>
      </c>
      <c r="H140" s="9">
        <v>949201</v>
      </c>
      <c r="I140" s="9">
        <v>1051813</v>
      </c>
      <c r="J140" s="9">
        <v>2389113</v>
      </c>
      <c r="L140" s="9">
        <v>1082250</v>
      </c>
      <c r="M140" s="9">
        <v>1066599</v>
      </c>
      <c r="N140" s="9">
        <v>684543</v>
      </c>
      <c r="O140" s="9">
        <v>1456031</v>
      </c>
      <c r="Q140" s="9">
        <v>1074980</v>
      </c>
      <c r="R140" s="9">
        <v>1078947</v>
      </c>
      <c r="S140" s="9">
        <v>458861</v>
      </c>
      <c r="T140" s="9">
        <v>982045</v>
      </c>
      <c r="V140" s="9">
        <v>1084163</v>
      </c>
      <c r="W140" s="9">
        <v>1012131</v>
      </c>
      <c r="X140" s="9">
        <v>401131</v>
      </c>
      <c r="Y140" s="9">
        <v>935526</v>
      </c>
    </row>
    <row r="141" spans="1:25">
      <c r="B141" s="9">
        <v>5081983</v>
      </c>
      <c r="C141" s="9">
        <v>924858</v>
      </c>
      <c r="D141" s="9">
        <v>2959866</v>
      </c>
      <c r="E141" s="9">
        <v>4395662</v>
      </c>
      <c r="G141" s="9">
        <v>2325603</v>
      </c>
      <c r="H141" s="9">
        <v>900498</v>
      </c>
      <c r="I141" s="9">
        <v>1065612</v>
      </c>
      <c r="J141" s="9">
        <v>2413585</v>
      </c>
      <c r="L141" s="9">
        <v>1055484</v>
      </c>
      <c r="M141" s="9">
        <v>1011972</v>
      </c>
      <c r="N141" s="9">
        <v>662517</v>
      </c>
      <c r="O141" s="9">
        <v>1450381</v>
      </c>
      <c r="Q141" s="9">
        <v>1082561</v>
      </c>
      <c r="R141" s="9">
        <v>1085329</v>
      </c>
      <c r="S141" s="9">
        <v>448653</v>
      </c>
      <c r="T141" s="9">
        <v>954358</v>
      </c>
      <c r="V141" s="9">
        <v>1083759</v>
      </c>
      <c r="W141" s="9">
        <v>1103735</v>
      </c>
      <c r="X141" s="9">
        <v>400664</v>
      </c>
      <c r="Y141" s="9">
        <v>971517</v>
      </c>
    </row>
    <row r="142" spans="1:25">
      <c r="B142" s="9">
        <v>4980693</v>
      </c>
      <c r="C142" s="9">
        <v>931945</v>
      </c>
      <c r="D142" s="9">
        <v>1899389</v>
      </c>
      <c r="E142" s="9">
        <v>2157021</v>
      </c>
      <c r="G142" s="9">
        <v>2476779</v>
      </c>
      <c r="H142" s="9">
        <v>923604</v>
      </c>
      <c r="I142" s="9">
        <v>1075924</v>
      </c>
      <c r="J142" s="9">
        <v>2564505</v>
      </c>
      <c r="L142" s="9">
        <v>1140208</v>
      </c>
      <c r="M142" s="9">
        <v>1041798</v>
      </c>
      <c r="N142" s="9">
        <v>671889</v>
      </c>
      <c r="O142" s="9">
        <v>1579233</v>
      </c>
      <c r="Q142" s="9">
        <v>1064822</v>
      </c>
      <c r="R142" s="9">
        <v>1160517</v>
      </c>
      <c r="S142" s="9">
        <v>438875</v>
      </c>
      <c r="T142" s="9">
        <v>946133</v>
      </c>
      <c r="V142" s="9">
        <v>1065906</v>
      </c>
      <c r="W142" s="9">
        <v>1169328</v>
      </c>
      <c r="X142" s="9">
        <v>396240</v>
      </c>
      <c r="Y142" s="9">
        <v>982350</v>
      </c>
    </row>
    <row r="143" spans="1:25">
      <c r="B143" s="9">
        <v>4934498</v>
      </c>
      <c r="C143" s="9">
        <v>950508</v>
      </c>
      <c r="D143" s="9">
        <v>1908422</v>
      </c>
      <c r="E143" s="9">
        <v>4497155</v>
      </c>
      <c r="G143" s="9">
        <v>2330412</v>
      </c>
      <c r="H143" s="9">
        <v>935945</v>
      </c>
      <c r="I143" s="9">
        <v>1013775</v>
      </c>
      <c r="J143" s="9">
        <v>2535483</v>
      </c>
      <c r="L143" s="9">
        <v>1053293</v>
      </c>
      <c r="M143" s="9">
        <v>997013</v>
      </c>
      <c r="N143" s="9">
        <v>617553</v>
      </c>
      <c r="O143" s="9">
        <v>1568363</v>
      </c>
      <c r="Q143" s="9">
        <v>1072981</v>
      </c>
      <c r="R143" s="9">
        <v>1077780</v>
      </c>
      <c r="S143" s="9">
        <v>444548</v>
      </c>
      <c r="T143" s="9">
        <v>995380</v>
      </c>
      <c r="V143" s="9">
        <v>1079795</v>
      </c>
      <c r="W143" s="9">
        <v>1154485</v>
      </c>
      <c r="X143" s="9">
        <v>391401</v>
      </c>
      <c r="Y143" s="9">
        <v>882134</v>
      </c>
    </row>
    <row r="144" spans="1:25">
      <c r="A144" s="10" t="s">
        <v>10</v>
      </c>
      <c r="B144" s="11">
        <f>AVERAGE(B114:B143)</f>
        <v>4976830.4333333336</v>
      </c>
      <c r="C144" s="11">
        <f t="shared" ref="C144:E144" si="10">AVERAGE(C114:C143)</f>
        <v>933810.43333333335</v>
      </c>
      <c r="D144" s="11">
        <f t="shared" si="10"/>
        <v>2003101.6666666667</v>
      </c>
      <c r="E144" s="11">
        <f t="shared" si="10"/>
        <v>4180449.8666666667</v>
      </c>
      <c r="F144" s="12"/>
      <c r="G144" s="11">
        <f>AVERAGE(G114:G143)</f>
        <v>2384519.5333333332</v>
      </c>
      <c r="H144" s="11">
        <f t="shared" ref="H144:J144" si="11">AVERAGE(H114:H143)</f>
        <v>935846.16666666663</v>
      </c>
      <c r="I144" s="11">
        <f t="shared" si="11"/>
        <v>1098625.6333333333</v>
      </c>
      <c r="J144" s="11">
        <f t="shared" si="11"/>
        <v>2340885.8666666667</v>
      </c>
      <c r="K144" s="12"/>
      <c r="L144" s="11">
        <f>AVERAGE(L114:L143)</f>
        <v>1083383.5666666667</v>
      </c>
      <c r="M144" s="11">
        <f t="shared" ref="M144:O144" si="12">AVERAGE(M114:M143)</f>
        <v>1038730.3666666667</v>
      </c>
      <c r="N144" s="11">
        <f t="shared" si="12"/>
        <v>650771.6333333333</v>
      </c>
      <c r="O144" s="11">
        <f t="shared" si="12"/>
        <v>1558779.4</v>
      </c>
      <c r="P144" s="12"/>
      <c r="Q144" s="11">
        <f>AVERAGE(Q114:Q143)</f>
        <v>1127360.3999999999</v>
      </c>
      <c r="R144" s="11">
        <f t="shared" ref="R144:T144" si="13">AVERAGE(R114:R143)</f>
        <v>1096193.7666666666</v>
      </c>
      <c r="S144" s="11">
        <f t="shared" si="13"/>
        <v>451495.8</v>
      </c>
      <c r="T144" s="11">
        <f t="shared" si="13"/>
        <v>1033402</v>
      </c>
      <c r="U144" s="12"/>
      <c r="V144" s="11">
        <f>AVERAGE(V114:V143)</f>
        <v>1083518.1000000001</v>
      </c>
      <c r="W144" s="11">
        <f t="shared" ref="W144:Y144" si="14">AVERAGE(W114:W143)</f>
        <v>1087144.6333333333</v>
      </c>
      <c r="X144" s="11">
        <f t="shared" si="14"/>
        <v>400235.76666666666</v>
      </c>
      <c r="Y144" s="11">
        <f t="shared" si="14"/>
        <v>939460</v>
      </c>
    </row>
    <row r="146" spans="2:31" ht="15.75" thickBot="1"/>
    <row r="147" spans="2:31" ht="15.75" thickBot="1">
      <c r="B147" s="60" t="s">
        <v>0</v>
      </c>
      <c r="C147" s="61"/>
      <c r="D147" s="61"/>
      <c r="E147" s="61"/>
      <c r="G147" s="60" t="s">
        <v>0</v>
      </c>
      <c r="H147" s="61"/>
      <c r="I147" s="61"/>
      <c r="J147" s="61"/>
      <c r="L147" s="60" t="s">
        <v>0</v>
      </c>
      <c r="M147" s="61"/>
      <c r="N147" s="61"/>
      <c r="O147" s="61"/>
      <c r="Q147" s="60" t="s">
        <v>0</v>
      </c>
      <c r="R147" s="61"/>
      <c r="S147" s="61"/>
      <c r="T147" s="61"/>
      <c r="V147" s="60" t="s">
        <v>0</v>
      </c>
      <c r="W147" s="61"/>
      <c r="X147" s="61"/>
      <c r="Y147" s="61"/>
      <c r="AA147" s="20"/>
      <c r="AB147" s="20"/>
      <c r="AC147" s="20"/>
      <c r="AD147" s="20"/>
      <c r="AE147" s="20"/>
    </row>
    <row r="148" spans="2:31" ht="15.75" thickBot="1">
      <c r="B148" s="59" t="s">
        <v>26</v>
      </c>
      <c r="C148" s="59"/>
      <c r="D148" s="59"/>
      <c r="E148" s="59"/>
      <c r="G148" s="59" t="s">
        <v>27</v>
      </c>
      <c r="H148" s="59"/>
      <c r="I148" s="59"/>
      <c r="J148" s="59"/>
      <c r="L148" s="59" t="s">
        <v>28</v>
      </c>
      <c r="M148" s="59"/>
      <c r="N148" s="59"/>
      <c r="O148" s="59"/>
      <c r="Q148" s="59" t="s">
        <v>29</v>
      </c>
      <c r="R148" s="59"/>
      <c r="S148" s="59"/>
      <c r="T148" s="59"/>
      <c r="V148" s="59" t="s">
        <v>30</v>
      </c>
      <c r="W148" s="59"/>
      <c r="X148" s="59"/>
      <c r="Y148" s="59"/>
    </row>
    <row r="149" spans="2:31" ht="45.75" thickBot="1">
      <c r="B149" s="28" t="s">
        <v>6</v>
      </c>
      <c r="C149" s="44" t="s">
        <v>7</v>
      </c>
      <c r="D149" s="43" t="s">
        <v>8</v>
      </c>
      <c r="E149" s="43" t="s">
        <v>9</v>
      </c>
      <c r="G149" s="28" t="s">
        <v>6</v>
      </c>
      <c r="H149" s="44" t="s">
        <v>7</v>
      </c>
      <c r="I149" s="43" t="s">
        <v>8</v>
      </c>
      <c r="J149" s="43" t="s">
        <v>9</v>
      </c>
      <c r="L149" s="28" t="s">
        <v>6</v>
      </c>
      <c r="M149" s="44" t="s">
        <v>7</v>
      </c>
      <c r="N149" s="43" t="s">
        <v>8</v>
      </c>
      <c r="O149" s="43" t="s">
        <v>9</v>
      </c>
      <c r="Q149" s="28" t="s">
        <v>6</v>
      </c>
      <c r="R149" s="44" t="s">
        <v>7</v>
      </c>
      <c r="S149" s="43" t="s">
        <v>8</v>
      </c>
      <c r="T149" s="43" t="s">
        <v>9</v>
      </c>
      <c r="V149" s="28" t="s">
        <v>6</v>
      </c>
      <c r="W149" s="44" t="s">
        <v>7</v>
      </c>
      <c r="X149" s="43" t="s">
        <v>8</v>
      </c>
      <c r="Y149" s="43" t="s">
        <v>9</v>
      </c>
    </row>
    <row r="150" spans="2:31">
      <c r="B150" s="9">
        <v>20940680</v>
      </c>
      <c r="C150" s="9">
        <v>5193854</v>
      </c>
      <c r="D150" s="9">
        <v>8384643</v>
      </c>
      <c r="E150" s="9">
        <v>18811010</v>
      </c>
      <c r="G150" s="9">
        <v>10737822</v>
      </c>
      <c r="H150" s="9">
        <v>4711526</v>
      </c>
      <c r="I150" s="9">
        <v>4570197</v>
      </c>
      <c r="J150" s="9">
        <v>7949138</v>
      </c>
      <c r="L150" s="9">
        <v>4507124</v>
      </c>
      <c r="M150" s="9">
        <v>4826470</v>
      </c>
      <c r="N150" s="9">
        <v>2921861</v>
      </c>
      <c r="O150" s="9">
        <v>6459729</v>
      </c>
      <c r="Q150" s="9">
        <v>5611193</v>
      </c>
      <c r="R150" s="9">
        <v>4742378</v>
      </c>
      <c r="S150" s="9">
        <v>1930779</v>
      </c>
      <c r="T150" s="9">
        <v>4688025</v>
      </c>
      <c r="V150" s="9">
        <v>4403396</v>
      </c>
      <c r="W150" s="9">
        <v>4867981</v>
      </c>
      <c r="X150" s="9">
        <v>1823696</v>
      </c>
      <c r="Y150" s="9">
        <v>4729861</v>
      </c>
    </row>
    <row r="151" spans="2:31">
      <c r="B151" s="9">
        <v>21294401</v>
      </c>
      <c r="C151" s="9">
        <v>5167974</v>
      </c>
      <c r="D151" s="9">
        <v>9337054</v>
      </c>
      <c r="E151" s="9">
        <v>16698857</v>
      </c>
      <c r="G151" s="9">
        <v>10987394</v>
      </c>
      <c r="H151" s="9">
        <v>5017944</v>
      </c>
      <c r="I151" s="9">
        <v>4554992</v>
      </c>
      <c r="J151" s="9">
        <v>9869672</v>
      </c>
      <c r="L151" s="9">
        <v>4460685</v>
      </c>
      <c r="M151" s="9">
        <v>4986661</v>
      </c>
      <c r="N151" s="9">
        <v>2791718</v>
      </c>
      <c r="O151" s="9">
        <v>6796743</v>
      </c>
      <c r="Q151" s="9">
        <v>4131865</v>
      </c>
      <c r="R151" s="9">
        <v>4902881</v>
      </c>
      <c r="S151" s="9">
        <v>1947296</v>
      </c>
      <c r="T151" s="9">
        <v>4908722</v>
      </c>
      <c r="V151" s="9">
        <v>4336223</v>
      </c>
      <c r="W151" s="9">
        <v>4844016</v>
      </c>
      <c r="X151" s="9">
        <v>3331089</v>
      </c>
      <c r="Y151" s="9">
        <v>4763819</v>
      </c>
    </row>
    <row r="152" spans="2:31">
      <c r="B152" s="9">
        <v>21942992</v>
      </c>
      <c r="C152" s="9">
        <v>5060298</v>
      </c>
      <c r="D152" s="9">
        <v>8324113</v>
      </c>
      <c r="E152" s="9">
        <v>18885949</v>
      </c>
      <c r="G152" s="9">
        <v>10861602</v>
      </c>
      <c r="H152" s="9">
        <v>4906066</v>
      </c>
      <c r="I152" s="9">
        <v>4703174</v>
      </c>
      <c r="J152" s="9">
        <v>10163838</v>
      </c>
      <c r="L152" s="9">
        <v>5419898</v>
      </c>
      <c r="M152" s="9">
        <v>4922028</v>
      </c>
      <c r="N152" s="9">
        <v>2844772</v>
      </c>
      <c r="O152" s="9">
        <v>6590908</v>
      </c>
      <c r="Q152" s="9">
        <v>4244978</v>
      </c>
      <c r="R152" s="9">
        <v>4884732</v>
      </c>
      <c r="S152" s="9">
        <v>1905718</v>
      </c>
      <c r="T152" s="9">
        <v>4725061</v>
      </c>
      <c r="V152" s="9">
        <v>4577460</v>
      </c>
      <c r="W152" s="9">
        <v>4917050</v>
      </c>
      <c r="X152" s="9">
        <v>1854498</v>
      </c>
      <c r="Y152" s="9">
        <v>4770615</v>
      </c>
    </row>
    <row r="153" spans="2:31">
      <c r="B153" s="9">
        <v>21756211</v>
      </c>
      <c r="C153" s="9">
        <v>5569172</v>
      </c>
      <c r="D153" s="9">
        <v>8078466</v>
      </c>
      <c r="E153" s="9">
        <v>16782110</v>
      </c>
      <c r="G153" s="9">
        <v>10702056</v>
      </c>
      <c r="H153" s="9">
        <v>5356920</v>
      </c>
      <c r="I153" s="9">
        <v>4675272</v>
      </c>
      <c r="J153" s="9">
        <v>10033841</v>
      </c>
      <c r="L153" s="9">
        <v>5398603</v>
      </c>
      <c r="M153" s="9">
        <v>4905168</v>
      </c>
      <c r="N153" s="9">
        <v>2763923</v>
      </c>
      <c r="O153" s="9">
        <v>6455360</v>
      </c>
      <c r="Q153" s="9">
        <v>4248966</v>
      </c>
      <c r="R153" s="9">
        <v>4875989</v>
      </c>
      <c r="S153" s="9">
        <v>2047731</v>
      </c>
      <c r="T153" s="9">
        <v>4802266</v>
      </c>
      <c r="V153" s="9">
        <v>4631588</v>
      </c>
      <c r="W153" s="9">
        <v>4860811</v>
      </c>
      <c r="X153" s="9">
        <v>1862389</v>
      </c>
      <c r="Y153" s="9">
        <v>4933615</v>
      </c>
    </row>
    <row r="154" spans="2:31">
      <c r="B154" s="9">
        <v>20082608</v>
      </c>
      <c r="C154" s="9">
        <v>5375007</v>
      </c>
      <c r="D154" s="9">
        <v>8140241</v>
      </c>
      <c r="E154" s="9">
        <v>19142569</v>
      </c>
      <c r="G154" s="9">
        <v>10632612</v>
      </c>
      <c r="H154" s="9">
        <v>4925250</v>
      </c>
      <c r="I154" s="9">
        <v>6046933</v>
      </c>
      <c r="J154" s="9">
        <v>8162979</v>
      </c>
      <c r="L154" s="9">
        <v>5300685</v>
      </c>
      <c r="M154" s="9">
        <v>4708768</v>
      </c>
      <c r="N154" s="9">
        <v>2751296</v>
      </c>
      <c r="O154" s="9">
        <v>4314518</v>
      </c>
      <c r="Q154" s="9">
        <v>4178423</v>
      </c>
      <c r="R154" s="9">
        <v>4870179</v>
      </c>
      <c r="S154" s="9">
        <v>2015661</v>
      </c>
      <c r="T154" s="9">
        <v>2447223</v>
      </c>
      <c r="V154" s="9">
        <v>4606627</v>
      </c>
      <c r="W154" s="9">
        <v>4930194</v>
      </c>
      <c r="X154" s="9">
        <v>1808860</v>
      </c>
      <c r="Y154" s="9">
        <v>4853374</v>
      </c>
    </row>
    <row r="155" spans="2:31">
      <c r="B155" s="9">
        <v>21103396</v>
      </c>
      <c r="C155" s="9">
        <v>5457692</v>
      </c>
      <c r="D155" s="9">
        <v>9564438</v>
      </c>
      <c r="E155" s="9">
        <v>16827908</v>
      </c>
      <c r="G155" s="9">
        <v>10681328</v>
      </c>
      <c r="H155" s="9">
        <v>5654996</v>
      </c>
      <c r="I155" s="9">
        <v>4759729</v>
      </c>
      <c r="J155" s="9">
        <v>9979563</v>
      </c>
      <c r="L155" s="9">
        <v>5261796</v>
      </c>
      <c r="M155" s="9">
        <v>4620507</v>
      </c>
      <c r="N155" s="9">
        <v>2833909</v>
      </c>
      <c r="O155" s="9">
        <v>6631897</v>
      </c>
      <c r="Q155" s="9">
        <v>4474853</v>
      </c>
      <c r="R155" s="9">
        <v>4736333</v>
      </c>
      <c r="S155" s="9">
        <v>1930516</v>
      </c>
      <c r="T155" s="9">
        <v>4785986</v>
      </c>
      <c r="V155" s="9">
        <v>4665196</v>
      </c>
      <c r="W155" s="9">
        <v>4875317</v>
      </c>
      <c r="X155" s="9">
        <v>1863519</v>
      </c>
      <c r="Y155" s="9">
        <v>4674857</v>
      </c>
    </row>
    <row r="156" spans="2:31">
      <c r="B156" s="9">
        <v>19707708</v>
      </c>
      <c r="C156" s="9">
        <v>5155179</v>
      </c>
      <c r="D156" s="9">
        <v>8192586</v>
      </c>
      <c r="E156" s="9">
        <v>16616152</v>
      </c>
      <c r="G156" s="9">
        <v>10519932</v>
      </c>
      <c r="H156" s="9">
        <v>5014151</v>
      </c>
      <c r="I156" s="9">
        <v>4617550</v>
      </c>
      <c r="J156" s="9">
        <v>10146714</v>
      </c>
      <c r="L156" s="9">
        <v>5250841</v>
      </c>
      <c r="M156" s="9">
        <v>4722137</v>
      </c>
      <c r="N156" s="9">
        <v>2735206</v>
      </c>
      <c r="O156" s="9">
        <v>6975847</v>
      </c>
      <c r="Q156" s="9">
        <v>4197243</v>
      </c>
      <c r="R156" s="9">
        <v>4777593</v>
      </c>
      <c r="S156" s="9">
        <v>1935503</v>
      </c>
      <c r="T156" s="9">
        <v>4731558</v>
      </c>
      <c r="V156" s="9">
        <v>4550869</v>
      </c>
      <c r="W156" s="9">
        <v>4796101</v>
      </c>
      <c r="X156" s="9">
        <v>1839096</v>
      </c>
      <c r="Y156" s="9">
        <v>2671450</v>
      </c>
    </row>
    <row r="157" spans="2:31">
      <c r="B157" s="9">
        <v>22415876</v>
      </c>
      <c r="C157" s="9">
        <v>5043216</v>
      </c>
      <c r="D157" s="9">
        <v>8168729</v>
      </c>
      <c r="E157" s="9">
        <v>18987587</v>
      </c>
      <c r="G157" s="9">
        <v>9597066</v>
      </c>
      <c r="H157" s="9">
        <v>5774255</v>
      </c>
      <c r="I157" s="9">
        <v>4626761</v>
      </c>
      <c r="J157" s="9">
        <v>8496704</v>
      </c>
      <c r="L157" s="9">
        <v>5288015</v>
      </c>
      <c r="M157" s="9">
        <v>4756551</v>
      </c>
      <c r="N157" s="9">
        <v>2915280</v>
      </c>
      <c r="O157" s="9">
        <v>6768279</v>
      </c>
      <c r="Q157" s="9">
        <v>4634851</v>
      </c>
      <c r="R157" s="9">
        <v>4718681</v>
      </c>
      <c r="S157" s="9">
        <v>3018284</v>
      </c>
      <c r="T157" s="9">
        <v>4904796</v>
      </c>
      <c r="V157" s="9">
        <v>4668174</v>
      </c>
      <c r="W157" s="9">
        <v>4779798</v>
      </c>
      <c r="X157" s="9">
        <v>1902327</v>
      </c>
      <c r="Y157" s="9">
        <v>4643001</v>
      </c>
    </row>
    <row r="158" spans="2:31">
      <c r="B158" s="9">
        <v>20794149</v>
      </c>
      <c r="C158" s="9">
        <v>5262508</v>
      </c>
      <c r="D158" s="9">
        <v>9116901</v>
      </c>
      <c r="E158" s="9">
        <v>16685603</v>
      </c>
      <c r="G158" s="9">
        <v>9143818</v>
      </c>
      <c r="H158" s="9">
        <v>5293527</v>
      </c>
      <c r="I158" s="9">
        <v>4467155</v>
      </c>
      <c r="J158" s="9">
        <v>10339687</v>
      </c>
      <c r="L158" s="9">
        <v>5369446</v>
      </c>
      <c r="M158" s="9">
        <v>4689654</v>
      </c>
      <c r="N158" s="9">
        <v>2772646</v>
      </c>
      <c r="O158" s="9">
        <v>4100415</v>
      </c>
      <c r="Q158" s="9">
        <v>4176158</v>
      </c>
      <c r="R158" s="9">
        <v>4818680</v>
      </c>
      <c r="S158" s="9">
        <v>1925641</v>
      </c>
      <c r="T158" s="9">
        <v>4827013</v>
      </c>
      <c r="V158" s="9">
        <v>4732790</v>
      </c>
      <c r="W158" s="9">
        <v>4918903</v>
      </c>
      <c r="X158" s="9">
        <v>1825490</v>
      </c>
      <c r="Y158" s="9">
        <v>4810988</v>
      </c>
    </row>
    <row r="159" spans="2:31">
      <c r="B159" s="9">
        <v>21808660</v>
      </c>
      <c r="C159" s="9">
        <v>5048198</v>
      </c>
      <c r="D159" s="9">
        <v>8158133</v>
      </c>
      <c r="E159" s="9">
        <v>19272741</v>
      </c>
      <c r="G159" s="9">
        <v>9922570</v>
      </c>
      <c r="H159" s="9">
        <v>4785222</v>
      </c>
      <c r="I159" s="9">
        <v>4803525</v>
      </c>
      <c r="J159" s="9">
        <v>9943235</v>
      </c>
      <c r="L159" s="9">
        <v>5236042</v>
      </c>
      <c r="M159" s="9">
        <v>4610046</v>
      </c>
      <c r="N159" s="9">
        <v>2758052</v>
      </c>
      <c r="O159" s="9">
        <v>6769907</v>
      </c>
      <c r="Q159" s="9">
        <v>4259612</v>
      </c>
      <c r="R159" s="9">
        <v>4850230</v>
      </c>
      <c r="S159" s="9">
        <v>1840914</v>
      </c>
      <c r="T159" s="9">
        <v>4922663</v>
      </c>
      <c r="V159" s="9">
        <v>4645390</v>
      </c>
      <c r="W159" s="9">
        <v>4843562</v>
      </c>
      <c r="X159" s="9">
        <v>1860540</v>
      </c>
      <c r="Y159" s="9">
        <v>4719006</v>
      </c>
    </row>
    <row r="160" spans="2:31">
      <c r="B160" s="9">
        <v>21887273</v>
      </c>
      <c r="C160" s="9">
        <v>5041000</v>
      </c>
      <c r="D160" s="9">
        <v>8238049</v>
      </c>
      <c r="E160" s="9">
        <v>17454904</v>
      </c>
      <c r="G160" s="9">
        <v>9046160</v>
      </c>
      <c r="H160" s="9">
        <v>4813657</v>
      </c>
      <c r="I160" s="9">
        <v>5934022</v>
      </c>
      <c r="J160" s="9">
        <v>7949894</v>
      </c>
      <c r="L160" s="9">
        <v>5124848</v>
      </c>
      <c r="M160" s="9">
        <v>4774101</v>
      </c>
      <c r="N160" s="9">
        <v>2858637</v>
      </c>
      <c r="O160" s="9">
        <v>6499705</v>
      </c>
      <c r="Q160" s="9">
        <v>4094761</v>
      </c>
      <c r="R160" s="9">
        <v>4776579</v>
      </c>
      <c r="S160" s="9">
        <v>1914339</v>
      </c>
      <c r="T160" s="9">
        <v>2896040</v>
      </c>
      <c r="V160" s="9">
        <v>4550271</v>
      </c>
      <c r="W160" s="9">
        <v>4966499</v>
      </c>
      <c r="X160" s="9">
        <v>1831813</v>
      </c>
      <c r="Y160" s="9">
        <v>4849920</v>
      </c>
    </row>
    <row r="161" spans="2:25">
      <c r="B161" s="9">
        <v>22144476</v>
      </c>
      <c r="C161" s="9">
        <v>5451627</v>
      </c>
      <c r="D161" s="9">
        <v>8159699</v>
      </c>
      <c r="E161" s="9">
        <v>17286079</v>
      </c>
      <c r="G161" s="9">
        <v>9912322</v>
      </c>
      <c r="H161" s="9">
        <v>4732876</v>
      </c>
      <c r="I161" s="9">
        <v>4897117</v>
      </c>
      <c r="J161" s="9">
        <v>10055290</v>
      </c>
      <c r="L161" s="9">
        <v>4827225</v>
      </c>
      <c r="M161" s="9">
        <v>4711950</v>
      </c>
      <c r="N161" s="9">
        <v>2925354</v>
      </c>
      <c r="O161" s="9">
        <v>6327008</v>
      </c>
      <c r="Q161" s="9">
        <v>4096888</v>
      </c>
      <c r="R161" s="9">
        <v>4837073</v>
      </c>
      <c r="S161" s="9">
        <v>1955321</v>
      </c>
      <c r="T161" s="9">
        <v>4765244</v>
      </c>
      <c r="V161" s="9">
        <v>4563689</v>
      </c>
      <c r="W161" s="9">
        <v>4816385</v>
      </c>
      <c r="X161" s="9">
        <v>1902782</v>
      </c>
      <c r="Y161" s="9">
        <v>4848626</v>
      </c>
    </row>
    <row r="162" spans="2:25">
      <c r="B162" s="9">
        <v>21103682</v>
      </c>
      <c r="C162" s="9">
        <v>5056745</v>
      </c>
      <c r="D162" s="9">
        <v>9264380</v>
      </c>
      <c r="E162" s="9">
        <v>18934551</v>
      </c>
      <c r="G162" s="9">
        <v>9807984</v>
      </c>
      <c r="H162" s="9">
        <v>5679785</v>
      </c>
      <c r="I162" s="9">
        <v>4570861</v>
      </c>
      <c r="J162" s="9">
        <v>9847699</v>
      </c>
      <c r="L162" s="9">
        <v>4493840</v>
      </c>
      <c r="M162" s="9">
        <v>4669134</v>
      </c>
      <c r="N162" s="9">
        <v>2887858</v>
      </c>
      <c r="O162" s="9">
        <v>6579963</v>
      </c>
      <c r="Q162" s="9">
        <v>4173665</v>
      </c>
      <c r="R162" s="9">
        <v>4880095</v>
      </c>
      <c r="S162" s="9">
        <v>1941715</v>
      </c>
      <c r="T162" s="9">
        <v>5151070</v>
      </c>
      <c r="V162" s="9">
        <v>4588332</v>
      </c>
      <c r="W162" s="9">
        <v>4861766</v>
      </c>
      <c r="X162" s="9">
        <v>1919974</v>
      </c>
      <c r="Y162" s="9">
        <v>4626142</v>
      </c>
    </row>
    <row r="163" spans="2:25">
      <c r="B163" s="9">
        <v>21211465</v>
      </c>
      <c r="C163" s="9">
        <v>4933056</v>
      </c>
      <c r="D163" s="9">
        <v>8067463</v>
      </c>
      <c r="E163" s="9">
        <v>16769136</v>
      </c>
      <c r="G163" s="9">
        <v>10182555</v>
      </c>
      <c r="H163" s="9">
        <v>4931630</v>
      </c>
      <c r="I163" s="9">
        <v>4460850</v>
      </c>
      <c r="J163" s="9">
        <v>7567892</v>
      </c>
      <c r="L163" s="9">
        <v>4475768</v>
      </c>
      <c r="M163" s="9">
        <v>4419230</v>
      </c>
      <c r="N163" s="9">
        <v>4104777</v>
      </c>
      <c r="O163" s="9">
        <v>4944172</v>
      </c>
      <c r="Q163" s="9">
        <v>4105086</v>
      </c>
      <c r="R163" s="9">
        <v>4762425</v>
      </c>
      <c r="S163" s="9">
        <v>1828627</v>
      </c>
      <c r="T163" s="9">
        <v>5472300</v>
      </c>
      <c r="V163" s="9">
        <v>4508485</v>
      </c>
      <c r="W163" s="9">
        <v>4859849</v>
      </c>
      <c r="X163" s="9">
        <v>1865171</v>
      </c>
      <c r="Y163" s="9">
        <v>2870179</v>
      </c>
    </row>
    <row r="164" spans="2:25">
      <c r="B164" s="9">
        <v>18703331</v>
      </c>
      <c r="C164" s="9">
        <v>5286296</v>
      </c>
      <c r="D164" s="9">
        <v>8169922</v>
      </c>
      <c r="E164" s="9">
        <v>19043605</v>
      </c>
      <c r="G164" s="9">
        <v>10246472</v>
      </c>
      <c r="H164" s="9">
        <v>4928234</v>
      </c>
      <c r="I164" s="9">
        <v>4589554</v>
      </c>
      <c r="J164" s="9">
        <v>9930557</v>
      </c>
      <c r="L164" s="9">
        <v>5118021</v>
      </c>
      <c r="M164" s="9">
        <v>4621609</v>
      </c>
      <c r="N164" s="9">
        <v>2929215</v>
      </c>
      <c r="O164" s="9">
        <v>6387158</v>
      </c>
      <c r="Q164" s="9">
        <v>4174774</v>
      </c>
      <c r="R164" s="9">
        <v>4857049</v>
      </c>
      <c r="S164" s="9">
        <v>1973728</v>
      </c>
      <c r="T164" s="9">
        <v>5287294</v>
      </c>
      <c r="V164" s="9">
        <v>4242117</v>
      </c>
      <c r="W164" s="9">
        <v>4827323</v>
      </c>
      <c r="X164" s="9">
        <v>1837657</v>
      </c>
      <c r="Y164" s="9">
        <v>4655215</v>
      </c>
    </row>
    <row r="165" spans="2:25">
      <c r="B165" s="9">
        <v>20020253</v>
      </c>
      <c r="C165" s="9">
        <v>5211938</v>
      </c>
      <c r="D165" s="9">
        <v>8277246</v>
      </c>
      <c r="E165" s="9">
        <v>16940884</v>
      </c>
      <c r="G165" s="9">
        <v>9304449</v>
      </c>
      <c r="H165" s="9">
        <v>4770337</v>
      </c>
      <c r="I165" s="9">
        <v>4639316</v>
      </c>
      <c r="J165" s="9">
        <v>10008625</v>
      </c>
      <c r="L165" s="9">
        <v>5163146</v>
      </c>
      <c r="M165" s="9">
        <v>4736820</v>
      </c>
      <c r="N165" s="9">
        <v>2853198</v>
      </c>
      <c r="O165" s="9">
        <v>6701726</v>
      </c>
      <c r="Q165" s="9">
        <v>4845609</v>
      </c>
      <c r="R165" s="9">
        <v>4854862</v>
      </c>
      <c r="S165" s="9">
        <v>1966062</v>
      </c>
      <c r="T165" s="9">
        <v>5096527</v>
      </c>
      <c r="V165" s="9">
        <v>4452065</v>
      </c>
      <c r="W165" s="9">
        <v>4822245</v>
      </c>
      <c r="X165" s="9">
        <v>1858048</v>
      </c>
      <c r="Y165" s="9">
        <v>4721456</v>
      </c>
    </row>
    <row r="166" spans="2:25">
      <c r="B166" s="9">
        <v>21375398</v>
      </c>
      <c r="C166" s="9">
        <v>4863934</v>
      </c>
      <c r="D166" s="9">
        <v>9208175</v>
      </c>
      <c r="E166" s="9">
        <v>16852530</v>
      </c>
      <c r="G166" s="9">
        <v>9408639</v>
      </c>
      <c r="H166" s="9">
        <v>4944484</v>
      </c>
      <c r="I166" s="9">
        <v>4797866</v>
      </c>
      <c r="J166" s="9">
        <v>8216860</v>
      </c>
      <c r="L166" s="9">
        <v>4437612</v>
      </c>
      <c r="M166" s="9">
        <v>4451971</v>
      </c>
      <c r="N166" s="9">
        <v>2616976</v>
      </c>
      <c r="O166" s="9">
        <v>6598582</v>
      </c>
      <c r="Q166" s="9">
        <v>4104011</v>
      </c>
      <c r="R166" s="9">
        <v>4835854</v>
      </c>
      <c r="S166" s="9">
        <v>1905700</v>
      </c>
      <c r="T166" s="9">
        <v>4900770</v>
      </c>
      <c r="V166" s="9">
        <v>4678799</v>
      </c>
      <c r="W166" s="9">
        <v>4893196</v>
      </c>
      <c r="X166" s="9">
        <v>1904713</v>
      </c>
      <c r="Y166" s="9">
        <v>4735059</v>
      </c>
    </row>
    <row r="167" spans="2:25">
      <c r="B167" s="9">
        <v>21385595</v>
      </c>
      <c r="C167" s="9">
        <v>5436951</v>
      </c>
      <c r="D167" s="9">
        <v>8360652</v>
      </c>
      <c r="E167" s="9">
        <v>18970628</v>
      </c>
      <c r="G167" s="9">
        <v>10019796</v>
      </c>
      <c r="H167" s="9">
        <v>4698732</v>
      </c>
      <c r="I167" s="9">
        <v>5947702</v>
      </c>
      <c r="J167" s="9">
        <v>9888809</v>
      </c>
      <c r="L167" s="9">
        <v>4657836</v>
      </c>
      <c r="M167" s="9">
        <v>4708715</v>
      </c>
      <c r="N167" s="9">
        <v>2763636</v>
      </c>
      <c r="O167" s="9">
        <v>6536634</v>
      </c>
      <c r="Q167" s="9">
        <v>4243709</v>
      </c>
      <c r="R167" s="9">
        <v>4777432</v>
      </c>
      <c r="S167" s="9">
        <v>1886186</v>
      </c>
      <c r="T167" s="9">
        <v>2874586</v>
      </c>
      <c r="V167" s="9">
        <v>4517570</v>
      </c>
      <c r="W167" s="9">
        <v>4796560</v>
      </c>
      <c r="X167" s="9">
        <v>1875919</v>
      </c>
      <c r="Y167" s="9">
        <v>4758844</v>
      </c>
    </row>
    <row r="168" spans="2:25">
      <c r="B168" s="9">
        <v>19421728</v>
      </c>
      <c r="C168" s="9">
        <v>4948348</v>
      </c>
      <c r="D168" s="9">
        <v>7957831</v>
      </c>
      <c r="E168" s="9">
        <v>16684740</v>
      </c>
      <c r="G168" s="9">
        <v>10643544</v>
      </c>
      <c r="H168" s="9">
        <v>4784947</v>
      </c>
      <c r="I168" s="9">
        <v>4630527</v>
      </c>
      <c r="J168" s="9">
        <v>9981791</v>
      </c>
      <c r="L168" s="9">
        <v>5135847</v>
      </c>
      <c r="M168" s="9">
        <v>4749904</v>
      </c>
      <c r="N168" s="9">
        <v>2788908</v>
      </c>
      <c r="O168" s="9">
        <v>4294714</v>
      </c>
      <c r="Q168" s="9">
        <v>4293528</v>
      </c>
      <c r="R168" s="9">
        <v>4785085</v>
      </c>
      <c r="S168" s="9">
        <v>1987931</v>
      </c>
      <c r="T168" s="9">
        <v>4927785</v>
      </c>
      <c r="V168" s="9">
        <v>4635562</v>
      </c>
      <c r="W168" s="9">
        <v>4896748</v>
      </c>
      <c r="X168" s="9">
        <v>2840807</v>
      </c>
      <c r="Y168" s="9">
        <v>4836000</v>
      </c>
    </row>
    <row r="169" spans="2:25">
      <c r="B169" s="9">
        <v>21219390</v>
      </c>
      <c r="C169" s="9">
        <v>4905147</v>
      </c>
      <c r="D169" s="9">
        <v>8178879</v>
      </c>
      <c r="E169" s="9">
        <v>19244928</v>
      </c>
      <c r="G169" s="9">
        <v>11057790</v>
      </c>
      <c r="H169" s="9">
        <v>5156137</v>
      </c>
      <c r="I169" s="9">
        <v>4618402</v>
      </c>
      <c r="J169" s="9">
        <v>9972396</v>
      </c>
      <c r="L169" s="9">
        <v>5257197</v>
      </c>
      <c r="M169" s="9">
        <v>4720156</v>
      </c>
      <c r="N169" s="9">
        <v>2666114</v>
      </c>
      <c r="O169" s="9">
        <v>6475430</v>
      </c>
      <c r="Q169" s="9">
        <v>4190466</v>
      </c>
      <c r="R169" s="9">
        <v>4767656</v>
      </c>
      <c r="S169" s="9">
        <v>1939015</v>
      </c>
      <c r="T169" s="9">
        <v>4935850</v>
      </c>
      <c r="V169" s="9">
        <v>4520950</v>
      </c>
      <c r="W169" s="9">
        <v>4934402</v>
      </c>
      <c r="X169" s="9">
        <v>1876725</v>
      </c>
      <c r="Y169" s="9">
        <v>2591514</v>
      </c>
    </row>
    <row r="170" spans="2:25">
      <c r="B170" s="9">
        <v>20980165</v>
      </c>
      <c r="C170" s="9">
        <v>5079217</v>
      </c>
      <c r="D170" s="9">
        <v>9383748</v>
      </c>
      <c r="E170" s="9">
        <v>16822812</v>
      </c>
      <c r="G170" s="9">
        <v>10755773</v>
      </c>
      <c r="H170" s="9">
        <v>4731818</v>
      </c>
      <c r="I170" s="9">
        <v>4814950</v>
      </c>
      <c r="J170" s="9">
        <v>9707879</v>
      </c>
      <c r="L170" s="9">
        <v>5341460</v>
      </c>
      <c r="M170" s="9">
        <v>4459427</v>
      </c>
      <c r="N170" s="9">
        <v>2827665</v>
      </c>
      <c r="O170" s="9">
        <v>6764437</v>
      </c>
      <c r="Q170" s="9">
        <v>4238224</v>
      </c>
      <c r="R170" s="9">
        <v>4820709</v>
      </c>
      <c r="S170" s="9">
        <v>1913914</v>
      </c>
      <c r="T170" s="9">
        <v>4807938</v>
      </c>
      <c r="V170" s="9">
        <v>4383904</v>
      </c>
      <c r="W170" s="9">
        <v>4786522</v>
      </c>
      <c r="X170" s="9">
        <v>1898451</v>
      </c>
      <c r="Y170" s="9">
        <v>4689318</v>
      </c>
    </row>
    <row r="171" spans="2:25">
      <c r="B171" s="9">
        <v>20440273</v>
      </c>
      <c r="C171" s="9">
        <v>4979793</v>
      </c>
      <c r="D171" s="9">
        <v>8208141</v>
      </c>
      <c r="E171" s="9">
        <v>19012363</v>
      </c>
      <c r="G171" s="9">
        <v>10728055</v>
      </c>
      <c r="H171" s="9">
        <v>4779248</v>
      </c>
      <c r="I171" s="9">
        <v>4792669</v>
      </c>
      <c r="J171" s="9">
        <v>9951228</v>
      </c>
      <c r="L171" s="9">
        <v>5412416</v>
      </c>
      <c r="M171" s="9">
        <v>4765884</v>
      </c>
      <c r="N171" s="9">
        <v>2848760</v>
      </c>
      <c r="O171" s="9">
        <v>6958237</v>
      </c>
      <c r="Q171" s="9">
        <v>4329467</v>
      </c>
      <c r="R171" s="9">
        <v>4906447</v>
      </c>
      <c r="S171" s="9">
        <v>1984770</v>
      </c>
      <c r="T171" s="9">
        <v>4944949</v>
      </c>
      <c r="V171" s="9">
        <v>4526053</v>
      </c>
      <c r="W171" s="9">
        <v>4910538</v>
      </c>
      <c r="X171" s="9">
        <v>1830706</v>
      </c>
      <c r="Y171" s="9">
        <v>4741894</v>
      </c>
    </row>
    <row r="172" spans="2:25">
      <c r="B172" s="9">
        <v>20743083</v>
      </c>
      <c r="C172" s="9">
        <v>5283352</v>
      </c>
      <c r="D172" s="9">
        <v>8055648</v>
      </c>
      <c r="E172" s="9">
        <v>16888398</v>
      </c>
      <c r="G172" s="9">
        <v>10546473</v>
      </c>
      <c r="H172" s="9">
        <v>4699057</v>
      </c>
      <c r="I172" s="9">
        <v>4611783</v>
      </c>
      <c r="J172" s="9">
        <v>10114189</v>
      </c>
      <c r="L172" s="9">
        <v>5161071</v>
      </c>
      <c r="M172" s="9">
        <v>4488615</v>
      </c>
      <c r="N172" s="9">
        <v>2821239</v>
      </c>
      <c r="O172" s="9">
        <v>6646710</v>
      </c>
      <c r="Q172" s="9">
        <v>4407195</v>
      </c>
      <c r="R172" s="9">
        <v>4844380</v>
      </c>
      <c r="S172" s="9">
        <v>1937044</v>
      </c>
      <c r="T172" s="9">
        <v>4901355</v>
      </c>
      <c r="V172" s="9">
        <v>4530453</v>
      </c>
      <c r="W172" s="9">
        <v>4912861</v>
      </c>
      <c r="X172" s="9">
        <v>1888655</v>
      </c>
      <c r="Y172" s="9">
        <v>4697255</v>
      </c>
    </row>
    <row r="173" spans="2:25">
      <c r="B173" s="9">
        <v>20483114</v>
      </c>
      <c r="C173" s="9">
        <v>5111053</v>
      </c>
      <c r="D173" s="9">
        <v>8202399</v>
      </c>
      <c r="E173" s="9">
        <v>17915726</v>
      </c>
      <c r="G173" s="9">
        <v>10955767</v>
      </c>
      <c r="H173" s="9">
        <v>4662978</v>
      </c>
      <c r="I173" s="9">
        <v>4689405</v>
      </c>
      <c r="J173" s="9">
        <v>7999805</v>
      </c>
      <c r="L173" s="9">
        <v>5102234</v>
      </c>
      <c r="M173" s="9">
        <v>4769381</v>
      </c>
      <c r="N173" s="9">
        <v>2950455</v>
      </c>
      <c r="O173" s="9">
        <v>3971492</v>
      </c>
      <c r="Q173" s="9">
        <v>4813279</v>
      </c>
      <c r="R173" s="9">
        <v>4749588</v>
      </c>
      <c r="S173" s="9">
        <v>2024122</v>
      </c>
      <c r="T173" s="9">
        <v>2901363</v>
      </c>
      <c r="V173" s="9">
        <v>4551850</v>
      </c>
      <c r="W173" s="9">
        <v>4808238</v>
      </c>
      <c r="X173" s="9">
        <v>1891751</v>
      </c>
      <c r="Y173" s="9">
        <v>4681245</v>
      </c>
    </row>
    <row r="174" spans="2:25">
      <c r="B174" s="9">
        <v>19922222</v>
      </c>
      <c r="C174" s="9">
        <v>5071183</v>
      </c>
      <c r="D174" s="9">
        <v>9315138</v>
      </c>
      <c r="E174" s="9">
        <v>18900940</v>
      </c>
      <c r="G174" s="9">
        <v>10827268</v>
      </c>
      <c r="H174" s="9">
        <v>4766319</v>
      </c>
      <c r="I174" s="9">
        <v>5828034</v>
      </c>
      <c r="J174" s="9">
        <v>10173200</v>
      </c>
      <c r="L174" s="9">
        <v>5072993</v>
      </c>
      <c r="M174" s="9">
        <v>4990668</v>
      </c>
      <c r="N174" s="9">
        <v>3904586</v>
      </c>
      <c r="O174" s="9">
        <v>6562958</v>
      </c>
      <c r="Q174" s="9">
        <v>4359867</v>
      </c>
      <c r="R174" s="9">
        <v>4876252</v>
      </c>
      <c r="S174" s="9">
        <v>1993035</v>
      </c>
      <c r="T174" s="9">
        <v>4724680</v>
      </c>
      <c r="V174" s="9">
        <v>4567777</v>
      </c>
      <c r="W174" s="9">
        <v>4958738</v>
      </c>
      <c r="X174" s="9">
        <v>1897068</v>
      </c>
      <c r="Y174" s="9">
        <v>4839388</v>
      </c>
    </row>
    <row r="175" spans="2:25">
      <c r="B175" s="9">
        <v>21879927</v>
      </c>
      <c r="C175" s="9">
        <v>5797853</v>
      </c>
      <c r="D175" s="9">
        <v>8051971</v>
      </c>
      <c r="E175" s="9">
        <v>16595278</v>
      </c>
      <c r="G175" s="9">
        <v>10543351</v>
      </c>
      <c r="H175" s="9">
        <v>4562601</v>
      </c>
      <c r="I175" s="9">
        <v>4610192</v>
      </c>
      <c r="J175" s="9">
        <v>10540642</v>
      </c>
      <c r="L175" s="9">
        <v>5193214</v>
      </c>
      <c r="M175" s="9">
        <v>4645646</v>
      </c>
      <c r="N175" s="9">
        <v>2801031</v>
      </c>
      <c r="O175" s="9">
        <v>6444685</v>
      </c>
      <c r="Q175" s="9">
        <v>4169794</v>
      </c>
      <c r="R175" s="9">
        <v>4831238</v>
      </c>
      <c r="S175" s="9">
        <v>2019982</v>
      </c>
      <c r="T175" s="9">
        <v>4999266</v>
      </c>
      <c r="V175" s="9">
        <v>4556214</v>
      </c>
      <c r="W175" s="9">
        <v>4871759</v>
      </c>
      <c r="X175" s="9">
        <v>1888376</v>
      </c>
      <c r="Y175" s="9">
        <v>4577696</v>
      </c>
    </row>
    <row r="176" spans="2:25">
      <c r="B176" s="9">
        <v>22018014</v>
      </c>
      <c r="C176" s="9">
        <v>5207985</v>
      </c>
      <c r="D176" s="9">
        <v>7923669</v>
      </c>
      <c r="E176" s="9">
        <v>18846948</v>
      </c>
      <c r="G176" s="9">
        <v>10585728</v>
      </c>
      <c r="H176" s="9">
        <v>4814696</v>
      </c>
      <c r="I176" s="9">
        <v>4476110</v>
      </c>
      <c r="J176" s="9">
        <v>8180392</v>
      </c>
      <c r="L176" s="9">
        <v>4678554</v>
      </c>
      <c r="M176" s="9">
        <v>4921859</v>
      </c>
      <c r="N176" s="9">
        <v>2733445</v>
      </c>
      <c r="O176" s="9">
        <v>6512200</v>
      </c>
      <c r="Q176" s="9">
        <v>4293453</v>
      </c>
      <c r="R176" s="9">
        <v>4917204</v>
      </c>
      <c r="S176" s="9">
        <v>1997918</v>
      </c>
      <c r="T176" s="9">
        <v>4761140</v>
      </c>
      <c r="V176" s="9">
        <v>4715899</v>
      </c>
      <c r="W176" s="9">
        <v>4896628</v>
      </c>
      <c r="X176" s="9">
        <v>1906067</v>
      </c>
      <c r="Y176" s="9">
        <v>2843862</v>
      </c>
    </row>
    <row r="177" spans="1:25">
      <c r="B177" s="9">
        <v>20138480</v>
      </c>
      <c r="C177" s="9">
        <v>5062816</v>
      </c>
      <c r="D177" s="9">
        <v>8039523</v>
      </c>
      <c r="E177" s="9">
        <v>17031822</v>
      </c>
      <c r="G177" s="9">
        <v>10728881</v>
      </c>
      <c r="H177" s="9">
        <v>4754907</v>
      </c>
      <c r="I177" s="9">
        <v>4656899</v>
      </c>
      <c r="J177" s="9">
        <v>10267481</v>
      </c>
      <c r="L177" s="9">
        <v>4968107</v>
      </c>
      <c r="M177" s="9">
        <v>4695268</v>
      </c>
      <c r="N177" s="9">
        <v>2675623</v>
      </c>
      <c r="O177" s="9">
        <v>6648316</v>
      </c>
      <c r="Q177" s="9">
        <v>4183508</v>
      </c>
      <c r="R177" s="9">
        <v>4765736</v>
      </c>
      <c r="S177" s="9">
        <v>2000567</v>
      </c>
      <c r="T177" s="9">
        <v>4751715</v>
      </c>
      <c r="V177" s="9">
        <v>4538428</v>
      </c>
      <c r="W177" s="9">
        <v>4849931</v>
      </c>
      <c r="X177" s="9">
        <v>1852099</v>
      </c>
      <c r="Y177" s="9">
        <v>4654999</v>
      </c>
    </row>
    <row r="178" spans="1:25">
      <c r="B178" s="9">
        <v>21295387</v>
      </c>
      <c r="C178" s="9">
        <v>5111463</v>
      </c>
      <c r="D178" s="9">
        <v>9851350</v>
      </c>
      <c r="E178" s="9">
        <v>16681840</v>
      </c>
      <c r="G178" s="9">
        <v>10197345</v>
      </c>
      <c r="H178" s="9">
        <v>4741647</v>
      </c>
      <c r="I178" s="9">
        <v>4720576</v>
      </c>
      <c r="J178" s="9">
        <v>10493407</v>
      </c>
      <c r="L178" s="9">
        <v>4895382</v>
      </c>
      <c r="M178" s="9">
        <v>4598526</v>
      </c>
      <c r="N178" s="9">
        <v>2693437</v>
      </c>
      <c r="O178" s="9">
        <v>4884755</v>
      </c>
      <c r="Q178" s="9">
        <v>3936450</v>
      </c>
      <c r="R178" s="9">
        <v>4878885</v>
      </c>
      <c r="S178" s="9">
        <v>1928708</v>
      </c>
      <c r="T178" s="9">
        <v>5018446</v>
      </c>
      <c r="V178" s="9">
        <v>4886459</v>
      </c>
      <c r="W178" s="9">
        <v>4998567</v>
      </c>
      <c r="X178" s="9">
        <v>1913121</v>
      </c>
      <c r="Y178" s="9">
        <v>4757686</v>
      </c>
    </row>
    <row r="179" spans="1:25">
      <c r="B179" s="9">
        <v>21867368</v>
      </c>
      <c r="C179" s="9">
        <v>4998404</v>
      </c>
      <c r="D179" s="9">
        <v>8299402</v>
      </c>
      <c r="E179" s="9">
        <v>19690736</v>
      </c>
      <c r="G179" s="9">
        <v>10099749</v>
      </c>
      <c r="H179" s="9">
        <v>4528183</v>
      </c>
      <c r="I179" s="9">
        <v>4715412</v>
      </c>
      <c r="J179" s="9">
        <v>7791895</v>
      </c>
      <c r="L179" s="9">
        <v>5250729</v>
      </c>
      <c r="M179" s="9">
        <v>4532045</v>
      </c>
      <c r="N179" s="9">
        <v>2725007</v>
      </c>
      <c r="O179" s="9">
        <v>6249020</v>
      </c>
      <c r="Q179" s="9">
        <v>4046835</v>
      </c>
      <c r="R179" s="9">
        <v>4909953</v>
      </c>
      <c r="S179" s="9">
        <v>1895962</v>
      </c>
      <c r="T179" s="9">
        <v>2839287</v>
      </c>
      <c r="V179" s="9">
        <v>4338896</v>
      </c>
      <c r="W179" s="9">
        <v>4865524</v>
      </c>
      <c r="X179" s="9">
        <v>1904509</v>
      </c>
      <c r="Y179" s="9">
        <v>4723082</v>
      </c>
    </row>
    <row r="180" spans="1:25">
      <c r="A180" s="10" t="s">
        <v>10</v>
      </c>
      <c r="B180" s="11">
        <f>AVERAGE(B150:B179)</f>
        <v>21002910.166666668</v>
      </c>
      <c r="C180" s="11">
        <f>AVERAGE(C150:C179)</f>
        <v>5172375.3</v>
      </c>
      <c r="D180" s="11">
        <f>AVERAGE(D150:D179)</f>
        <v>8489286.3000000007</v>
      </c>
      <c r="E180" s="11">
        <f>AVERAGE(E150:E179)</f>
        <v>17842644.466666665</v>
      </c>
      <c r="F180" s="12"/>
      <c r="G180" s="11">
        <f>AVERAGE(G150:G179)</f>
        <v>10312810.033333333</v>
      </c>
      <c r="H180" s="11">
        <f>AVERAGE(H150:H179)</f>
        <v>4930737.666666667</v>
      </c>
      <c r="I180" s="11">
        <f>AVERAGE(I150:I179)</f>
        <v>4827584.5</v>
      </c>
      <c r="J180" s="11">
        <f>AVERAGE(J150:J179)</f>
        <v>9457510.0666666664</v>
      </c>
      <c r="K180" s="12"/>
      <c r="L180" s="11">
        <f>AVERAGE(L150:L179)</f>
        <v>5042021.166666667</v>
      </c>
      <c r="M180" s="11">
        <f>AVERAGE(M150:M179)</f>
        <v>4705963.3</v>
      </c>
      <c r="N180" s="11">
        <f>AVERAGE(N150:N179)</f>
        <v>2882152.8</v>
      </c>
      <c r="O180" s="11">
        <f>AVERAGE(O150:O179)</f>
        <v>6161716.833333333</v>
      </c>
      <c r="P180" s="12"/>
      <c r="Q180" s="11">
        <f>AVERAGE(Q150:Q179)</f>
        <v>4308623.7</v>
      </c>
      <c r="R180" s="11">
        <f>AVERAGE(R150:R179)</f>
        <v>4827072.5999999996</v>
      </c>
      <c r="S180" s="11">
        <f>AVERAGE(S150:S179)</f>
        <v>1983089.6333333333</v>
      </c>
      <c r="T180" s="11">
        <f>AVERAGE(T150:T179)</f>
        <v>4556697.2666666666</v>
      </c>
      <c r="U180" s="12"/>
      <c r="V180" s="11">
        <f>AVERAGE(V150:V179)</f>
        <v>4555716.2</v>
      </c>
      <c r="W180" s="11">
        <f>AVERAGE(W150:W179)</f>
        <v>4872267.0666666664</v>
      </c>
      <c r="X180" s="11">
        <f>AVERAGE(X150:X179)</f>
        <v>1951863.8666666667</v>
      </c>
      <c r="Y180" s="11">
        <f>AVERAGE(Y150:Y179)</f>
        <v>4475665.5333333332</v>
      </c>
    </row>
  </sheetData>
  <mergeCells count="50">
    <mergeCell ref="B3:E3"/>
    <mergeCell ref="B4:E4"/>
    <mergeCell ref="G3:J3"/>
    <mergeCell ref="G4:J4"/>
    <mergeCell ref="L3:O3"/>
    <mergeCell ref="L4:O4"/>
    <mergeCell ref="Q40:T40"/>
    <mergeCell ref="V39:Y39"/>
    <mergeCell ref="V40:Y40"/>
    <mergeCell ref="B75:E75"/>
    <mergeCell ref="B39:E39"/>
    <mergeCell ref="B40:E40"/>
    <mergeCell ref="G39:J39"/>
    <mergeCell ref="G40:J40"/>
    <mergeCell ref="L39:O39"/>
    <mergeCell ref="L40:O40"/>
    <mergeCell ref="B76:E76"/>
    <mergeCell ref="G75:J75"/>
    <mergeCell ref="G76:J76"/>
    <mergeCell ref="L75:O75"/>
    <mergeCell ref="L76:O76"/>
    <mergeCell ref="B112:E112"/>
    <mergeCell ref="G111:J111"/>
    <mergeCell ref="G112:J112"/>
    <mergeCell ref="L111:O111"/>
    <mergeCell ref="L112:O112"/>
    <mergeCell ref="B111:E111"/>
    <mergeCell ref="Q3:T3"/>
    <mergeCell ref="Q4:T4"/>
    <mergeCell ref="V3:Y3"/>
    <mergeCell ref="V4:Y4"/>
    <mergeCell ref="Q39:T39"/>
    <mergeCell ref="Q111:T111"/>
    <mergeCell ref="Q112:T112"/>
    <mergeCell ref="V111:Y111"/>
    <mergeCell ref="V112:Y112"/>
    <mergeCell ref="Q75:T75"/>
    <mergeCell ref="Q76:T76"/>
    <mergeCell ref="V75:Y75"/>
    <mergeCell ref="V76:Y76"/>
    <mergeCell ref="B147:E147"/>
    <mergeCell ref="G147:J147"/>
    <mergeCell ref="L147:O147"/>
    <mergeCell ref="Q147:T147"/>
    <mergeCell ref="V147:Y147"/>
    <mergeCell ref="B148:E148"/>
    <mergeCell ref="G148:J148"/>
    <mergeCell ref="L148:O148"/>
    <mergeCell ref="Q148:T148"/>
    <mergeCell ref="V148:Y14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63FB-433A-4DEE-8390-E3DF4FB6C327}">
  <dimension ref="B2:T30"/>
  <sheetViews>
    <sheetView tabSelected="1" topLeftCell="A29" zoomScale="80" zoomScaleNormal="80" workbookViewId="0">
      <selection activeCell="O25" sqref="O25"/>
    </sheetView>
  </sheetViews>
  <sheetFormatPr defaultColWidth="10.85546875" defaultRowHeight="15"/>
  <cols>
    <col min="1" max="1" width="14.42578125" style="4" customWidth="1"/>
    <col min="2" max="2" width="13.140625" style="4" customWidth="1"/>
    <col min="3" max="3" width="35.140625" style="4" customWidth="1"/>
    <col min="4" max="4" width="32.140625" style="4" customWidth="1"/>
    <col min="5" max="5" width="24.5703125" style="4" customWidth="1"/>
    <col min="6" max="6" width="20.85546875" style="4" customWidth="1"/>
    <col min="7" max="7" width="18.7109375" style="4" bestFit="1" customWidth="1"/>
    <col min="8" max="8" width="2.85546875" style="4" customWidth="1"/>
    <col min="9" max="9" width="13.7109375" style="4" customWidth="1"/>
    <col min="10" max="10" width="31.42578125" style="4" customWidth="1"/>
    <col min="11" max="11" width="24.42578125" style="4" customWidth="1"/>
    <col min="12" max="12" width="23.28515625" style="4" customWidth="1"/>
    <col min="13" max="13" width="24.42578125" style="4" customWidth="1"/>
    <col min="14" max="14" width="23.5703125" style="4" customWidth="1"/>
    <col min="15" max="15" width="3.28515625" style="4" customWidth="1"/>
    <col min="16" max="16" width="18.85546875" style="4" customWidth="1"/>
    <col min="17" max="17" width="26.140625" style="4" bestFit="1" customWidth="1"/>
    <col min="18" max="18" width="23.5703125" style="4" customWidth="1"/>
    <col min="19" max="19" width="24.28515625" style="4" customWidth="1"/>
    <col min="20" max="20" width="23" style="4" customWidth="1"/>
    <col min="21" max="16384" width="10.85546875" style="4"/>
  </cols>
  <sheetData>
    <row r="2" spans="2:20" ht="15" customHeight="1" thickBot="1">
      <c r="B2" s="25"/>
    </row>
    <row r="3" spans="2:20" ht="39" customHeight="1" thickBot="1">
      <c r="B3" s="69" t="s">
        <v>31</v>
      </c>
      <c r="C3" s="70"/>
      <c r="D3" s="70"/>
      <c r="E3" s="70"/>
      <c r="F3" s="71"/>
      <c r="G3" s="53"/>
      <c r="I3" s="69" t="s">
        <v>32</v>
      </c>
      <c r="J3" s="70"/>
      <c r="K3" s="70"/>
      <c r="L3" s="70"/>
      <c r="M3" s="71"/>
      <c r="N3" s="51"/>
      <c r="P3" s="69" t="s">
        <v>33</v>
      </c>
      <c r="Q3" s="70"/>
      <c r="R3" s="70"/>
      <c r="S3" s="70"/>
      <c r="T3" s="71"/>
    </row>
    <row r="4" spans="2:20" ht="21.95" customHeight="1" thickBot="1">
      <c r="B4" s="31"/>
      <c r="C4" s="72" t="s">
        <v>34</v>
      </c>
      <c r="D4" s="73"/>
      <c r="E4" s="73"/>
      <c r="F4" s="74"/>
      <c r="G4" s="7"/>
      <c r="I4" s="31"/>
      <c r="J4" s="72" t="s">
        <v>34</v>
      </c>
      <c r="K4" s="73"/>
      <c r="L4" s="73"/>
      <c r="M4" s="74"/>
      <c r="N4" s="41"/>
      <c r="P4" s="31"/>
      <c r="Q4" s="72" t="s">
        <v>34</v>
      </c>
      <c r="R4" s="73"/>
      <c r="S4" s="73"/>
      <c r="T4" s="74"/>
    </row>
    <row r="5" spans="2:20" ht="51.75" customHeight="1" thickBot="1">
      <c r="B5" s="29" t="s">
        <v>35</v>
      </c>
      <c r="C5" s="28" t="s">
        <v>6</v>
      </c>
      <c r="D5" s="44" t="s">
        <v>7</v>
      </c>
      <c r="E5" s="43" t="s">
        <v>8</v>
      </c>
      <c r="F5" s="54" t="s">
        <v>9</v>
      </c>
      <c r="G5" s="7"/>
      <c r="I5" s="29" t="s">
        <v>35</v>
      </c>
      <c r="J5" s="28" t="s">
        <v>6</v>
      </c>
      <c r="K5" s="44" t="s">
        <v>7</v>
      </c>
      <c r="L5" s="43" t="s">
        <v>8</v>
      </c>
      <c r="M5" s="54" t="s">
        <v>9</v>
      </c>
      <c r="N5" s="7"/>
      <c r="P5" s="29" t="s">
        <v>35</v>
      </c>
      <c r="Q5" s="28" t="s">
        <v>6</v>
      </c>
      <c r="R5" s="44" t="s">
        <v>7</v>
      </c>
      <c r="S5" s="43" t="s">
        <v>8</v>
      </c>
      <c r="T5" s="54" t="s">
        <v>9</v>
      </c>
    </row>
    <row r="6" spans="2:20" ht="15.75" thickBot="1">
      <c r="B6" s="35">
        <v>1</v>
      </c>
      <c r="C6" s="38">
        <f>Fork!B36</f>
        <v>1244.4000000000001</v>
      </c>
      <c r="D6" s="19">
        <f>Fork!C36</f>
        <v>320.46666666666664</v>
      </c>
      <c r="E6" s="37">
        <f>Fork!D36</f>
        <v>415.63333333333333</v>
      </c>
      <c r="F6" s="37">
        <f>Fork!E36</f>
        <v>1515.7333333333333</v>
      </c>
      <c r="G6" s="7"/>
      <c r="I6" s="35">
        <v>1</v>
      </c>
      <c r="J6" s="38">
        <f>Fork!B72</f>
        <v>5867.9666666666662</v>
      </c>
      <c r="K6" s="38">
        <f>Fork!C72</f>
        <v>975.06666666666672</v>
      </c>
      <c r="L6" s="38">
        <f>Fork!D72</f>
        <v>2033.7333333333333</v>
      </c>
      <c r="M6" s="38">
        <f>Fork!E72</f>
        <v>4495.7</v>
      </c>
      <c r="N6" s="7"/>
      <c r="P6" s="35">
        <v>1</v>
      </c>
      <c r="Q6" s="38">
        <f>Fork!B108</f>
        <v>501042.96666666667</v>
      </c>
      <c r="R6" s="19">
        <f>Fork!C108</f>
        <v>117021.36666666667</v>
      </c>
      <c r="S6" s="37">
        <f>Fork!D108</f>
        <v>229871.3</v>
      </c>
      <c r="T6" s="37">
        <f>Fork!E108</f>
        <v>443143.23333333334</v>
      </c>
    </row>
    <row r="7" spans="2:20" ht="15.75" thickBot="1">
      <c r="B7" s="36">
        <v>2</v>
      </c>
      <c r="C7" s="39">
        <f>Fork!G36</f>
        <v>868</v>
      </c>
      <c r="D7" s="30">
        <f>Fork!H36</f>
        <v>351.96666666666664</v>
      </c>
      <c r="E7" s="32">
        <f>Fork!I36</f>
        <v>360.66666666666669</v>
      </c>
      <c r="F7" s="32">
        <f>Fork!J36</f>
        <v>1332.1</v>
      </c>
      <c r="G7" s="7"/>
      <c r="I7" s="36">
        <v>2</v>
      </c>
      <c r="J7" s="38">
        <f>Fork!G72</f>
        <v>3364.7666666666669</v>
      </c>
      <c r="K7" s="38">
        <f>Fork!H72</f>
        <v>881.2</v>
      </c>
      <c r="L7" s="38">
        <f>Fork!I72</f>
        <v>1260.6666666666667</v>
      </c>
      <c r="M7" s="38">
        <f>Fork!J72</f>
        <v>3054.8666666666668</v>
      </c>
      <c r="N7" s="7"/>
      <c r="P7" s="36">
        <v>2</v>
      </c>
      <c r="Q7" s="38">
        <f>Fork!G108</f>
        <v>250653.76666666666</v>
      </c>
      <c r="R7" s="30">
        <f>Fork!H108</f>
        <v>110748.93333333333</v>
      </c>
      <c r="S7" s="32">
        <f>Fork!I108</f>
        <v>158720.79999999999</v>
      </c>
      <c r="T7" s="32">
        <f>Fork!J108</f>
        <v>246170.03333333333</v>
      </c>
    </row>
    <row r="8" spans="2:20" ht="15.75" thickBot="1">
      <c r="B8" s="35">
        <v>4</v>
      </c>
      <c r="C8" s="39">
        <f>Fork!L36</f>
        <v>966.9</v>
      </c>
      <c r="D8" s="30">
        <f>Fork!M36</f>
        <v>853.8</v>
      </c>
      <c r="E8" s="32">
        <f>Fork!N36</f>
        <v>447.63333333333333</v>
      </c>
      <c r="F8" s="32">
        <f>Fork!O36</f>
        <v>1635.9666666666667</v>
      </c>
      <c r="G8" s="7"/>
      <c r="I8" s="35">
        <v>4</v>
      </c>
      <c r="J8" s="38">
        <f>Fork!L72</f>
        <v>2350.8000000000002</v>
      </c>
      <c r="K8" s="38">
        <f>Fork!M72</f>
        <v>770.1</v>
      </c>
      <c r="L8" s="38">
        <f>Fork!N72</f>
        <v>1055.5333333333333</v>
      </c>
      <c r="M8" s="38">
        <f>Fork!O72</f>
        <v>2673.3</v>
      </c>
      <c r="N8" s="7"/>
      <c r="P8" s="35">
        <v>4</v>
      </c>
      <c r="Q8" s="38">
        <f>Fork!L108</f>
        <v>130419.63333333333</v>
      </c>
      <c r="R8" s="30">
        <f>Fork!M108</f>
        <v>129553.1</v>
      </c>
      <c r="S8" s="32">
        <f>Fork!N108</f>
        <v>76144.566666666666</v>
      </c>
      <c r="T8" s="32">
        <f>Fork!O108</f>
        <v>147761.43333333332</v>
      </c>
    </row>
    <row r="9" spans="2:20" ht="15.75" thickBot="1">
      <c r="B9" s="50">
        <v>8</v>
      </c>
      <c r="C9" s="39">
        <f>Fork!Q36</f>
        <v>1172.5999999999999</v>
      </c>
      <c r="D9" s="47">
        <f>Fork!R36</f>
        <v>1446.2666666666667</v>
      </c>
      <c r="E9" s="32">
        <f>Fork!S36</f>
        <v>697.76666666666665</v>
      </c>
      <c r="F9" s="32">
        <f>Fork!T36</f>
        <v>2715</v>
      </c>
      <c r="G9" s="7"/>
      <c r="I9" s="35">
        <v>8</v>
      </c>
      <c r="J9" s="38">
        <f>Fork!Q72</f>
        <v>2743.4666666666667</v>
      </c>
      <c r="K9" s="38">
        <f>Fork!R72</f>
        <v>2088.9333333333334</v>
      </c>
      <c r="L9" s="38">
        <f>Fork!S72</f>
        <v>1031.8666666666666</v>
      </c>
      <c r="M9" s="38">
        <f>Fork!T72</f>
        <v>2881.6333333333332</v>
      </c>
      <c r="N9" s="7"/>
      <c r="P9" s="35">
        <v>8</v>
      </c>
      <c r="Q9" s="38">
        <f>Fork!Q108</f>
        <v>132673.13333333333</v>
      </c>
      <c r="R9" s="30">
        <f>Fork!R108</f>
        <v>126029.13333333333</v>
      </c>
      <c r="S9" s="32">
        <f>Fork!S108</f>
        <v>46780.466666666667</v>
      </c>
      <c r="T9" s="32">
        <f>Fork!T108</f>
        <v>97015.666666666672</v>
      </c>
    </row>
    <row r="10" spans="2:20" ht="15.75" thickBot="1">
      <c r="B10" s="34">
        <v>10</v>
      </c>
      <c r="C10" s="39">
        <f>Fork!V36</f>
        <v>1305.2666666666667</v>
      </c>
      <c r="D10" s="39">
        <f>Fork!W36</f>
        <v>1439.1333333333334</v>
      </c>
      <c r="E10" s="30">
        <f>Fork!X36</f>
        <v>805.63333333333333</v>
      </c>
      <c r="F10" s="32">
        <f>Fork!Y36</f>
        <v>2417.3000000000002</v>
      </c>
      <c r="G10" s="7"/>
      <c r="H10" s="7"/>
      <c r="I10" s="34">
        <v>10</v>
      </c>
      <c r="J10" s="38">
        <f>Fork!V72</f>
        <v>2458.3666666666668</v>
      </c>
      <c r="K10" s="38">
        <f>Fork!W72</f>
        <v>2502.8333333333335</v>
      </c>
      <c r="L10" s="38">
        <f>Fork!X72</f>
        <v>1153.7666666666667</v>
      </c>
      <c r="M10" s="38">
        <f>Fork!Y72</f>
        <v>2620.8000000000002</v>
      </c>
      <c r="N10" s="7"/>
      <c r="P10" s="34">
        <v>10</v>
      </c>
      <c r="Q10" s="38">
        <f>Fork!V108</f>
        <v>130487</v>
      </c>
      <c r="R10" s="38">
        <f>Fork!W108</f>
        <v>134010.23333333334</v>
      </c>
      <c r="S10" s="38">
        <f>Fork!X108</f>
        <v>39158.833333333336</v>
      </c>
      <c r="T10" s="38">
        <f>Fork!Y108</f>
        <v>83724.566666666666</v>
      </c>
    </row>
    <row r="11" spans="2:20">
      <c r="B11" s="49"/>
      <c r="C11" s="7"/>
      <c r="D11" s="7"/>
      <c r="E11" s="7"/>
      <c r="F11" s="7"/>
      <c r="G11" s="7"/>
      <c r="H11" s="7"/>
      <c r="I11" s="49"/>
      <c r="J11" s="7"/>
      <c r="K11" s="7"/>
      <c r="L11" s="7"/>
      <c r="M11" s="7"/>
      <c r="N11" s="7"/>
    </row>
    <row r="12" spans="2:20" ht="15.95" customHeight="1"/>
    <row r="13" spans="2:20" ht="42" customHeight="1" thickBot="1">
      <c r="B13" s="75" t="s">
        <v>36</v>
      </c>
      <c r="C13" s="76"/>
      <c r="D13" s="76"/>
      <c r="E13" s="76"/>
      <c r="F13" s="77"/>
      <c r="G13" s="53"/>
      <c r="H13" s="7"/>
      <c r="I13" s="75" t="s">
        <v>37</v>
      </c>
      <c r="J13" s="76"/>
      <c r="K13" s="76"/>
      <c r="L13" s="76"/>
      <c r="M13" s="77"/>
      <c r="N13" s="53"/>
    </row>
    <row r="14" spans="2:20" ht="15.75" thickBot="1">
      <c r="B14" s="31"/>
      <c r="C14" s="78" t="s">
        <v>34</v>
      </c>
      <c r="D14" s="79"/>
      <c r="E14" s="79"/>
      <c r="F14" s="80"/>
      <c r="G14" s="7"/>
      <c r="H14" s="7"/>
      <c r="I14" s="31"/>
      <c r="J14" s="72" t="s">
        <v>34</v>
      </c>
      <c r="K14" s="73"/>
      <c r="L14" s="73"/>
      <c r="M14" s="74"/>
      <c r="N14" s="7"/>
    </row>
    <row r="15" spans="2:20" ht="58.5" customHeight="1" thickBot="1">
      <c r="B15" s="29" t="s">
        <v>35</v>
      </c>
      <c r="C15" s="28" t="s">
        <v>6</v>
      </c>
      <c r="D15" s="44" t="s">
        <v>7</v>
      </c>
      <c r="E15" s="43" t="s">
        <v>8</v>
      </c>
      <c r="F15" s="54" t="s">
        <v>9</v>
      </c>
      <c r="G15" s="7"/>
      <c r="I15" s="29" t="s">
        <v>35</v>
      </c>
      <c r="J15" s="28" t="s">
        <v>6</v>
      </c>
      <c r="K15" s="55" t="s">
        <v>7</v>
      </c>
      <c r="L15" s="56" t="s">
        <v>8</v>
      </c>
      <c r="M15" s="57" t="s">
        <v>9</v>
      </c>
      <c r="N15" s="7"/>
    </row>
    <row r="16" spans="2:20" ht="15.75" thickBot="1">
      <c r="B16" s="35">
        <v>1</v>
      </c>
      <c r="C16" s="39">
        <f>Fork!B144</f>
        <v>4976830.4333333336</v>
      </c>
      <c r="D16" s="39">
        <f>Fork!C144</f>
        <v>933810.43333333335</v>
      </c>
      <c r="E16" s="39">
        <f>Fork!D144</f>
        <v>2003101.6666666667</v>
      </c>
      <c r="F16" s="39">
        <f>Fork!E144</f>
        <v>4180449.8666666667</v>
      </c>
      <c r="G16" s="7"/>
      <c r="I16" s="35">
        <v>1</v>
      </c>
      <c r="J16" s="38">
        <f>Fork!B180</f>
        <v>21002910.166666668</v>
      </c>
      <c r="K16" s="19">
        <f>Fork!C180</f>
        <v>5172375.3</v>
      </c>
      <c r="L16" s="37">
        <f>Fork!D180</f>
        <v>8489286.3000000007</v>
      </c>
      <c r="M16" s="37">
        <f>Fork!E180</f>
        <v>17842644.466666665</v>
      </c>
      <c r="N16" s="7"/>
    </row>
    <row r="17" spans="2:14" ht="15.75" thickBot="1">
      <c r="B17" s="36">
        <v>2</v>
      </c>
      <c r="C17" s="39">
        <f>Fork!G144</f>
        <v>2384519.5333333332</v>
      </c>
      <c r="D17" s="39">
        <f>Fork!H144</f>
        <v>935846.16666666663</v>
      </c>
      <c r="E17" s="32">
        <f>Fork!I144</f>
        <v>1098625.6333333333</v>
      </c>
      <c r="F17" s="39">
        <f>Fork!J144</f>
        <v>2340885.8666666667</v>
      </c>
      <c r="G17" s="7"/>
      <c r="I17" s="36">
        <v>2</v>
      </c>
      <c r="J17" s="39">
        <f>Fork!G180</f>
        <v>10312810.033333333</v>
      </c>
      <c r="K17" s="30">
        <f>Fork!H180</f>
        <v>4930737.666666667</v>
      </c>
      <c r="L17" s="32">
        <f>Fork!I180</f>
        <v>4827584.5</v>
      </c>
      <c r="M17" s="32">
        <f>Fork!J180</f>
        <v>9457510.0666666664</v>
      </c>
      <c r="N17" s="7"/>
    </row>
    <row r="18" spans="2:14" ht="15.75" thickBot="1">
      <c r="B18" s="35">
        <v>4</v>
      </c>
      <c r="C18" s="39">
        <f>Fork!L144</f>
        <v>1083383.5666666667</v>
      </c>
      <c r="D18" s="39">
        <f>Fork!M144</f>
        <v>1038730.3666666667</v>
      </c>
      <c r="E18" s="32">
        <f>Fork!N144</f>
        <v>650771.6333333333</v>
      </c>
      <c r="F18" s="32">
        <f>Fork!O144</f>
        <v>1558779.4</v>
      </c>
      <c r="G18" s="7"/>
      <c r="I18" s="35">
        <v>4</v>
      </c>
      <c r="J18" s="39">
        <f>Fork!L180</f>
        <v>5042021.166666667</v>
      </c>
      <c r="K18" s="30">
        <f>Fork!M180</f>
        <v>4705963.3</v>
      </c>
      <c r="L18" s="32">
        <f>Fork!N180</f>
        <v>2882152.8</v>
      </c>
      <c r="M18" s="32">
        <f>Fork!O180</f>
        <v>6161716.833333333</v>
      </c>
      <c r="N18" s="7"/>
    </row>
    <row r="19" spans="2:14" ht="15.75" thickBot="1">
      <c r="B19" s="35">
        <v>8</v>
      </c>
      <c r="C19" s="39">
        <f>Fork!Q144</f>
        <v>1127360.3999999999</v>
      </c>
      <c r="D19" s="39">
        <f>Fork!W144</f>
        <v>1087144.6333333333</v>
      </c>
      <c r="E19" s="32">
        <f>Fork!S144</f>
        <v>451495.8</v>
      </c>
      <c r="F19" s="32">
        <f>Fork!T144</f>
        <v>1033402</v>
      </c>
      <c r="G19" s="7"/>
      <c r="I19" s="35">
        <v>8</v>
      </c>
      <c r="J19" s="39">
        <f>Fork!Q180</f>
        <v>4308623.7</v>
      </c>
      <c r="K19" s="39">
        <f>Fork!R180</f>
        <v>4827072.5999999996</v>
      </c>
      <c r="L19" s="32">
        <f>Fork!S180</f>
        <v>1983089.6333333333</v>
      </c>
      <c r="M19" s="32">
        <f>Fork!T180</f>
        <v>4556697.2666666666</v>
      </c>
      <c r="N19" s="7"/>
    </row>
    <row r="20" spans="2:14" ht="15.75" thickBot="1">
      <c r="B20" s="34">
        <v>10</v>
      </c>
      <c r="C20" s="39">
        <f>Fork!V144</f>
        <v>1083518.1000000001</v>
      </c>
      <c r="D20" s="39">
        <f>Fork!W144</f>
        <v>1087144.6333333333</v>
      </c>
      <c r="E20" s="39">
        <f>Fork!X144</f>
        <v>400235.76666666666</v>
      </c>
      <c r="F20" s="32">
        <f>Fork!Y144</f>
        <v>939460</v>
      </c>
      <c r="G20" s="7"/>
      <c r="I20" s="34">
        <v>10</v>
      </c>
      <c r="J20" s="40">
        <f>Fork!V180</f>
        <v>4555716.2</v>
      </c>
      <c r="K20" s="40">
        <f>Fork!W180</f>
        <v>4872267.0666666664</v>
      </c>
      <c r="L20" s="40">
        <f>Fork!X180</f>
        <v>1951863.8666666667</v>
      </c>
      <c r="M20" s="33">
        <f>Fork!Y180</f>
        <v>4475665.5333333332</v>
      </c>
      <c r="N20" s="7"/>
    </row>
    <row r="21" spans="2:14" ht="16.5" customHeight="1">
      <c r="B21" s="49"/>
      <c r="C21" s="7"/>
      <c r="D21" s="7"/>
      <c r="E21" s="7"/>
      <c r="F21" s="7"/>
      <c r="G21" s="7"/>
      <c r="I21" s="49"/>
      <c r="J21" s="7"/>
      <c r="K21" s="7"/>
      <c r="L21" s="7"/>
      <c r="M21" s="7"/>
      <c r="N21" s="7"/>
    </row>
    <row r="22" spans="2:14">
      <c r="N22" s="49"/>
    </row>
    <row r="30" spans="2:14" ht="44.1" customHeight="1"/>
  </sheetData>
  <mergeCells count="10">
    <mergeCell ref="J14:M14"/>
    <mergeCell ref="B13:F13"/>
    <mergeCell ref="C14:F14"/>
    <mergeCell ref="B3:F3"/>
    <mergeCell ref="C4:F4"/>
    <mergeCell ref="P3:T3"/>
    <mergeCell ref="Q4:T4"/>
    <mergeCell ref="I3:M3"/>
    <mergeCell ref="J4:M4"/>
    <mergeCell ref="I13:M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180"/>
  <sheetViews>
    <sheetView topLeftCell="A144" zoomScale="90" zoomScaleNormal="90" workbookViewId="0">
      <selection activeCell="W180" sqref="W180"/>
    </sheetView>
  </sheetViews>
  <sheetFormatPr defaultColWidth="11.42578125" defaultRowHeight="15"/>
  <cols>
    <col min="1" max="1" width="11.42578125" style="4"/>
    <col min="2" max="2" width="26.140625" style="4" bestFit="1" customWidth="1"/>
    <col min="3" max="3" width="27.7109375" style="4" customWidth="1"/>
    <col min="4" max="4" width="29" style="4" customWidth="1"/>
    <col min="5" max="5" width="25.85546875" style="4" bestFit="1" customWidth="1"/>
    <col min="6" max="6" width="11.42578125" style="4"/>
    <col min="7" max="7" width="26.140625" style="4" bestFit="1" customWidth="1"/>
    <col min="8" max="8" width="23.28515625" style="4" customWidth="1"/>
    <col min="9" max="9" width="30.140625" style="4" customWidth="1"/>
    <col min="10" max="10" width="20.140625" style="4" customWidth="1"/>
    <col min="11" max="11" width="11.42578125" style="4"/>
    <col min="12" max="12" width="32.28515625" style="4" customWidth="1"/>
    <col min="13" max="13" width="27.140625" style="4" customWidth="1"/>
    <col min="14" max="14" width="27.5703125" style="4" customWidth="1"/>
    <col min="15" max="15" width="22.85546875" style="4" customWidth="1"/>
    <col min="16" max="16" width="15.5703125" style="4" bestFit="1" customWidth="1"/>
    <col min="17" max="17" width="34.28515625" style="4" customWidth="1"/>
    <col min="18" max="18" width="25.7109375" style="4" customWidth="1"/>
    <col min="19" max="19" width="25.42578125" style="4" customWidth="1"/>
    <col min="20" max="20" width="23.85546875" style="4" customWidth="1"/>
    <col min="21" max="21" width="13.140625" style="4" customWidth="1"/>
    <col min="22" max="22" width="36.7109375" style="4" customWidth="1"/>
    <col min="23" max="23" width="26.7109375" style="4" customWidth="1"/>
    <col min="24" max="24" width="25.42578125" style="4" customWidth="1"/>
    <col min="25" max="25" width="23.28515625" style="4" customWidth="1"/>
    <col min="26" max="26" width="12.140625" style="4" customWidth="1"/>
    <col min="27" max="16384" width="11.42578125" style="4"/>
  </cols>
  <sheetData>
    <row r="2" spans="2:31" ht="15.75" thickBot="1"/>
    <row r="3" spans="2:31" s="7" customFormat="1" ht="16.5" customHeight="1" thickBot="1">
      <c r="B3" s="66" t="s">
        <v>38</v>
      </c>
      <c r="C3" s="67"/>
      <c r="D3" s="67"/>
      <c r="E3" s="68"/>
      <c r="G3" s="66" t="s">
        <v>38</v>
      </c>
      <c r="H3" s="67"/>
      <c r="I3" s="67"/>
      <c r="J3" s="68"/>
      <c r="L3" s="66" t="s">
        <v>38</v>
      </c>
      <c r="M3" s="67"/>
      <c r="N3" s="67"/>
      <c r="O3" s="68"/>
      <c r="Q3" s="66" t="s">
        <v>38</v>
      </c>
      <c r="R3" s="67"/>
      <c r="S3" s="67"/>
      <c r="T3" s="68"/>
      <c r="V3" s="66" t="s">
        <v>38</v>
      </c>
      <c r="W3" s="67"/>
      <c r="X3" s="67"/>
      <c r="Y3" s="68"/>
      <c r="AA3" s="20"/>
      <c r="AB3" s="20"/>
      <c r="AC3" s="20"/>
      <c r="AD3" s="20"/>
      <c r="AE3" s="20"/>
    </row>
    <row r="4" spans="2:31" s="7" customFormat="1" ht="13.5" customHeight="1" thickBot="1">
      <c r="B4" s="63" t="s">
        <v>1</v>
      </c>
      <c r="C4" s="64"/>
      <c r="D4" s="64"/>
      <c r="E4" s="65"/>
      <c r="G4" s="59" t="s">
        <v>2</v>
      </c>
      <c r="H4" s="59"/>
      <c r="I4" s="59"/>
      <c r="J4" s="59"/>
      <c r="L4" s="59" t="s">
        <v>3</v>
      </c>
      <c r="M4" s="59"/>
      <c r="N4" s="59"/>
      <c r="O4" s="59"/>
      <c r="Q4" s="59" t="s">
        <v>4</v>
      </c>
      <c r="R4" s="59"/>
      <c r="S4" s="59"/>
      <c r="T4" s="59"/>
      <c r="V4" s="59" t="s">
        <v>5</v>
      </c>
      <c r="W4" s="59"/>
      <c r="X4" s="59"/>
      <c r="Y4" s="59"/>
      <c r="AA4" s="21"/>
      <c r="AB4" s="21"/>
      <c r="AC4" s="21"/>
      <c r="AD4" s="21"/>
      <c r="AE4" s="21"/>
    </row>
    <row r="5" spans="2:31" s="7" customFormat="1" ht="45" customHeight="1" thickBot="1">
      <c r="B5" s="28" t="s">
        <v>6</v>
      </c>
      <c r="C5" s="44" t="s">
        <v>7</v>
      </c>
      <c r="D5" s="43" t="s">
        <v>8</v>
      </c>
      <c r="E5" s="43" t="s">
        <v>9</v>
      </c>
      <c r="G5" s="28" t="s">
        <v>6</v>
      </c>
      <c r="H5" s="44" t="s">
        <v>7</v>
      </c>
      <c r="I5" s="43" t="s">
        <v>8</v>
      </c>
      <c r="J5" s="43" t="s">
        <v>9</v>
      </c>
      <c r="L5" s="28" t="s">
        <v>6</v>
      </c>
      <c r="M5" s="44" t="s">
        <v>7</v>
      </c>
      <c r="N5" s="43" t="s">
        <v>8</v>
      </c>
      <c r="O5" s="43" t="s">
        <v>9</v>
      </c>
      <c r="Q5" s="28" t="s">
        <v>6</v>
      </c>
      <c r="R5" s="44" t="s">
        <v>7</v>
      </c>
      <c r="S5" s="43" t="s">
        <v>8</v>
      </c>
      <c r="T5" s="43" t="s">
        <v>9</v>
      </c>
      <c r="V5" s="28" t="s">
        <v>6</v>
      </c>
      <c r="W5" s="44" t="s">
        <v>7</v>
      </c>
      <c r="X5" s="43" t="s">
        <v>8</v>
      </c>
      <c r="Y5" s="43" t="s">
        <v>9</v>
      </c>
    </row>
    <row r="6" spans="2:31">
      <c r="B6" s="1">
        <v>558</v>
      </c>
      <c r="C6" s="1">
        <v>70</v>
      </c>
      <c r="D6" s="1">
        <v>265</v>
      </c>
      <c r="E6" s="1">
        <v>334</v>
      </c>
      <c r="F6" s="2"/>
      <c r="G6" s="1">
        <v>417</v>
      </c>
      <c r="H6" s="1">
        <v>184</v>
      </c>
      <c r="I6" s="1">
        <v>989</v>
      </c>
      <c r="J6" s="1">
        <v>520</v>
      </c>
      <c r="K6" s="2"/>
      <c r="L6" s="1">
        <v>241</v>
      </c>
      <c r="M6" s="14">
        <v>9591</v>
      </c>
      <c r="N6" s="17">
        <v>1033</v>
      </c>
      <c r="O6" s="18">
        <v>784</v>
      </c>
      <c r="P6" s="2"/>
      <c r="Q6" s="1">
        <v>438</v>
      </c>
      <c r="R6" s="1">
        <v>359</v>
      </c>
      <c r="S6" s="1">
        <v>939</v>
      </c>
      <c r="T6" s="1">
        <v>1058</v>
      </c>
      <c r="U6" s="2"/>
      <c r="V6" s="9">
        <v>717</v>
      </c>
      <c r="W6" s="9">
        <v>369</v>
      </c>
      <c r="X6" s="9">
        <v>1366</v>
      </c>
      <c r="Y6" s="9">
        <v>1382</v>
      </c>
      <c r="Z6" s="7"/>
    </row>
    <row r="7" spans="2:31">
      <c r="B7" s="1">
        <v>1241</v>
      </c>
      <c r="C7" s="1">
        <v>69</v>
      </c>
      <c r="D7" s="1">
        <v>273</v>
      </c>
      <c r="E7" s="1">
        <v>332</v>
      </c>
      <c r="F7" s="2"/>
      <c r="G7" s="1">
        <v>416</v>
      </c>
      <c r="H7" s="1">
        <v>105</v>
      </c>
      <c r="I7" s="1">
        <v>1027</v>
      </c>
      <c r="J7" s="1">
        <v>461</v>
      </c>
      <c r="K7" s="2"/>
      <c r="L7" s="1">
        <v>226</v>
      </c>
      <c r="M7" s="14">
        <v>356</v>
      </c>
      <c r="N7" s="17">
        <v>906</v>
      </c>
      <c r="O7" s="18">
        <v>805</v>
      </c>
      <c r="P7" s="2"/>
      <c r="Q7" s="1">
        <v>431</v>
      </c>
      <c r="R7" s="1">
        <v>2362</v>
      </c>
      <c r="S7" s="1">
        <v>1011</v>
      </c>
      <c r="T7" s="1">
        <v>837</v>
      </c>
      <c r="U7" s="2"/>
      <c r="V7" s="9">
        <v>549</v>
      </c>
      <c r="W7" s="9">
        <v>377</v>
      </c>
      <c r="X7" s="9">
        <v>1462</v>
      </c>
      <c r="Y7" s="9">
        <v>1219</v>
      </c>
      <c r="Z7" s="7"/>
    </row>
    <row r="8" spans="2:31">
      <c r="B8" s="1">
        <v>866</v>
      </c>
      <c r="C8" s="1">
        <v>69</v>
      </c>
      <c r="D8" s="1">
        <v>324</v>
      </c>
      <c r="E8" s="1">
        <v>355</v>
      </c>
      <c r="F8" s="2"/>
      <c r="G8" s="1">
        <v>339</v>
      </c>
      <c r="H8" s="1">
        <v>1668</v>
      </c>
      <c r="I8" s="1">
        <v>389</v>
      </c>
      <c r="J8" s="1">
        <v>564</v>
      </c>
      <c r="K8" s="2"/>
      <c r="L8" s="1">
        <v>234</v>
      </c>
      <c r="M8" s="1">
        <v>193</v>
      </c>
      <c r="N8" s="16">
        <v>1022</v>
      </c>
      <c r="O8" s="16">
        <v>620</v>
      </c>
      <c r="P8" s="2"/>
      <c r="Q8" s="1">
        <v>368</v>
      </c>
      <c r="R8" s="1">
        <v>647</v>
      </c>
      <c r="S8" s="1">
        <v>2814</v>
      </c>
      <c r="T8" s="1">
        <v>1062</v>
      </c>
      <c r="U8" s="2"/>
      <c r="V8" s="9">
        <v>587</v>
      </c>
      <c r="W8" s="9">
        <v>409</v>
      </c>
      <c r="X8" s="9">
        <v>2906</v>
      </c>
      <c r="Y8" s="9">
        <v>1257</v>
      </c>
      <c r="Z8" s="7"/>
    </row>
    <row r="9" spans="2:31">
      <c r="B9" s="1">
        <v>746</v>
      </c>
      <c r="C9" s="1">
        <v>71</v>
      </c>
      <c r="D9" s="1">
        <v>295</v>
      </c>
      <c r="E9" s="1">
        <v>357</v>
      </c>
      <c r="F9" s="2"/>
      <c r="G9" s="1">
        <v>347</v>
      </c>
      <c r="H9" s="1">
        <v>150</v>
      </c>
      <c r="I9" s="1">
        <v>384</v>
      </c>
      <c r="J9" s="1">
        <v>649</v>
      </c>
      <c r="K9" s="2"/>
      <c r="L9" s="1">
        <v>286</v>
      </c>
      <c r="M9" s="1">
        <v>860</v>
      </c>
      <c r="N9" s="14">
        <v>941</v>
      </c>
      <c r="O9" s="14">
        <v>923</v>
      </c>
      <c r="P9" s="2"/>
      <c r="Q9" s="1">
        <v>559</v>
      </c>
      <c r="R9" s="1">
        <v>395</v>
      </c>
      <c r="S9" s="1">
        <v>2059</v>
      </c>
      <c r="T9" s="1">
        <v>724</v>
      </c>
      <c r="U9" s="2"/>
      <c r="V9" s="9">
        <v>685</v>
      </c>
      <c r="W9" s="9">
        <v>378</v>
      </c>
      <c r="X9" s="9">
        <v>1053</v>
      </c>
      <c r="Y9" s="9">
        <v>1371</v>
      </c>
      <c r="Z9" s="7"/>
    </row>
    <row r="10" spans="2:31">
      <c r="B10" s="1">
        <v>550</v>
      </c>
      <c r="C10" s="1">
        <v>94</v>
      </c>
      <c r="D10" s="1">
        <v>255</v>
      </c>
      <c r="E10" s="1">
        <v>333</v>
      </c>
      <c r="F10" s="2"/>
      <c r="G10" s="1">
        <v>350</v>
      </c>
      <c r="H10" s="1">
        <v>117</v>
      </c>
      <c r="I10" s="1">
        <v>705</v>
      </c>
      <c r="J10" s="1">
        <v>520</v>
      </c>
      <c r="K10" s="2"/>
      <c r="L10" s="1">
        <v>233</v>
      </c>
      <c r="M10" s="1">
        <v>1889</v>
      </c>
      <c r="N10" s="14">
        <v>1318</v>
      </c>
      <c r="O10" s="14">
        <v>603</v>
      </c>
      <c r="P10" s="2"/>
      <c r="Q10" s="1">
        <v>495</v>
      </c>
      <c r="R10" s="1">
        <v>880</v>
      </c>
      <c r="S10" s="1">
        <v>985</v>
      </c>
      <c r="T10" s="1">
        <v>703</v>
      </c>
      <c r="U10" s="2"/>
      <c r="V10" s="9">
        <v>625</v>
      </c>
      <c r="W10" s="9">
        <v>390</v>
      </c>
      <c r="X10" s="9">
        <v>1191</v>
      </c>
      <c r="Y10" s="9">
        <v>1131</v>
      </c>
      <c r="Z10" s="7"/>
    </row>
    <row r="11" spans="2:31">
      <c r="B11" s="1">
        <v>926</v>
      </c>
      <c r="C11" s="1">
        <v>103</v>
      </c>
      <c r="D11" s="1">
        <v>253</v>
      </c>
      <c r="E11" s="1">
        <v>333</v>
      </c>
      <c r="F11" s="2"/>
      <c r="G11" s="1">
        <v>300</v>
      </c>
      <c r="H11" s="1">
        <v>113</v>
      </c>
      <c r="I11" s="1">
        <v>3470</v>
      </c>
      <c r="J11" s="1">
        <v>577</v>
      </c>
      <c r="K11" s="2"/>
      <c r="L11" s="1">
        <v>5671</v>
      </c>
      <c r="M11" s="1">
        <v>1796</v>
      </c>
      <c r="N11" s="14">
        <v>959</v>
      </c>
      <c r="O11" s="14">
        <v>580</v>
      </c>
      <c r="P11" s="2"/>
      <c r="Q11" s="1">
        <v>1017</v>
      </c>
      <c r="R11" s="1">
        <v>311</v>
      </c>
      <c r="S11" s="1">
        <v>1304</v>
      </c>
      <c r="T11" s="1">
        <v>845</v>
      </c>
      <c r="U11" s="2"/>
      <c r="V11" s="9">
        <v>2206</v>
      </c>
      <c r="W11" s="9">
        <v>403</v>
      </c>
      <c r="X11" s="9">
        <v>1760</v>
      </c>
      <c r="Y11" s="9">
        <v>1086</v>
      </c>
      <c r="Z11" s="7"/>
    </row>
    <row r="12" spans="2:31">
      <c r="B12" s="1">
        <v>466</v>
      </c>
      <c r="C12" s="1">
        <v>69</v>
      </c>
      <c r="D12" s="1">
        <v>269</v>
      </c>
      <c r="E12" s="1">
        <v>340</v>
      </c>
      <c r="F12" s="2"/>
      <c r="G12" s="1">
        <v>336</v>
      </c>
      <c r="H12" s="1">
        <v>622</v>
      </c>
      <c r="I12" s="1">
        <v>384</v>
      </c>
      <c r="J12" s="1">
        <v>457</v>
      </c>
      <c r="K12" s="2"/>
      <c r="L12" s="1">
        <v>3103</v>
      </c>
      <c r="M12" s="1">
        <v>2835</v>
      </c>
      <c r="N12" s="14">
        <v>1531</v>
      </c>
      <c r="O12" s="14">
        <v>724</v>
      </c>
      <c r="P12" s="2"/>
      <c r="Q12" s="1">
        <v>2663</v>
      </c>
      <c r="R12" s="1">
        <v>376</v>
      </c>
      <c r="S12" s="1">
        <v>1020</v>
      </c>
      <c r="T12" s="1">
        <v>1316</v>
      </c>
      <c r="U12" s="2"/>
      <c r="V12" s="9">
        <v>538</v>
      </c>
      <c r="W12" s="9">
        <v>466</v>
      </c>
      <c r="X12" s="9">
        <v>1230</v>
      </c>
      <c r="Y12" s="9">
        <v>1075</v>
      </c>
      <c r="Z12" s="7"/>
    </row>
    <row r="13" spans="2:31">
      <c r="B13" s="1">
        <v>462</v>
      </c>
      <c r="C13" s="1">
        <v>74</v>
      </c>
      <c r="D13" s="1">
        <v>253</v>
      </c>
      <c r="E13" s="1">
        <v>513</v>
      </c>
      <c r="F13" s="2"/>
      <c r="G13" s="1">
        <v>311</v>
      </c>
      <c r="H13" s="1">
        <v>809</v>
      </c>
      <c r="I13" s="1">
        <v>399</v>
      </c>
      <c r="J13" s="1">
        <v>696</v>
      </c>
      <c r="K13" s="2"/>
      <c r="L13" s="1">
        <v>308</v>
      </c>
      <c r="M13" s="1">
        <v>268</v>
      </c>
      <c r="N13" s="14">
        <v>911</v>
      </c>
      <c r="O13" s="14">
        <v>757</v>
      </c>
      <c r="P13" s="2"/>
      <c r="Q13" s="1">
        <v>738</v>
      </c>
      <c r="R13" s="1">
        <v>410</v>
      </c>
      <c r="S13" s="1">
        <v>1175</v>
      </c>
      <c r="T13" s="1">
        <v>1539</v>
      </c>
      <c r="U13" s="2"/>
      <c r="V13" s="9">
        <v>582</v>
      </c>
      <c r="W13" s="9">
        <v>361</v>
      </c>
      <c r="X13" s="9">
        <v>1437</v>
      </c>
      <c r="Y13" s="9">
        <v>1258</v>
      </c>
      <c r="Z13" s="7"/>
    </row>
    <row r="14" spans="2:31">
      <c r="B14" s="1">
        <v>462</v>
      </c>
      <c r="C14" s="1">
        <v>75</v>
      </c>
      <c r="D14" s="1">
        <v>252</v>
      </c>
      <c r="E14" s="1">
        <v>336</v>
      </c>
      <c r="F14" s="2"/>
      <c r="G14" s="1">
        <v>285</v>
      </c>
      <c r="H14" s="1">
        <v>324</v>
      </c>
      <c r="I14" s="1">
        <v>3395</v>
      </c>
      <c r="J14" s="1">
        <v>644</v>
      </c>
      <c r="K14" s="2"/>
      <c r="L14" s="1">
        <v>333</v>
      </c>
      <c r="M14" s="1">
        <v>181</v>
      </c>
      <c r="N14" s="14">
        <v>901</v>
      </c>
      <c r="O14" s="14">
        <v>580</v>
      </c>
      <c r="P14" s="2"/>
      <c r="Q14" s="1">
        <v>794</v>
      </c>
      <c r="R14" s="1">
        <v>814</v>
      </c>
      <c r="S14" s="1">
        <v>1066</v>
      </c>
      <c r="T14" s="1">
        <v>789</v>
      </c>
      <c r="U14" s="2"/>
      <c r="V14" s="9">
        <v>651</v>
      </c>
      <c r="W14" s="9">
        <v>353</v>
      </c>
      <c r="X14" s="9">
        <v>1401</v>
      </c>
      <c r="Y14" s="9">
        <v>1398</v>
      </c>
      <c r="Z14" s="7"/>
    </row>
    <row r="15" spans="2:31">
      <c r="B15" s="1">
        <v>460</v>
      </c>
      <c r="C15" s="1">
        <v>84</v>
      </c>
      <c r="D15" s="1">
        <v>252</v>
      </c>
      <c r="E15" s="1">
        <v>336</v>
      </c>
      <c r="F15" s="2"/>
      <c r="G15" s="1">
        <v>306</v>
      </c>
      <c r="H15" s="1">
        <v>348</v>
      </c>
      <c r="I15" s="1">
        <v>300</v>
      </c>
      <c r="J15" s="1">
        <v>672</v>
      </c>
      <c r="K15" s="2"/>
      <c r="L15" s="1">
        <v>239</v>
      </c>
      <c r="M15" s="1">
        <v>154</v>
      </c>
      <c r="N15" s="14">
        <v>712</v>
      </c>
      <c r="O15" s="14">
        <v>692</v>
      </c>
      <c r="P15" s="2"/>
      <c r="Q15" s="1">
        <v>788</v>
      </c>
      <c r="R15" s="1">
        <v>410</v>
      </c>
      <c r="S15" s="1">
        <v>3272</v>
      </c>
      <c r="T15" s="1">
        <v>1409</v>
      </c>
      <c r="U15" s="2"/>
      <c r="V15" s="9">
        <v>616</v>
      </c>
      <c r="W15" s="9">
        <v>413</v>
      </c>
      <c r="X15" s="9">
        <v>5029</v>
      </c>
      <c r="Y15" s="9">
        <v>1864</v>
      </c>
      <c r="Z15" s="7"/>
    </row>
    <row r="16" spans="2:31">
      <c r="B16" s="1">
        <v>521</v>
      </c>
      <c r="C16" s="1">
        <v>69</v>
      </c>
      <c r="D16" s="1">
        <v>254</v>
      </c>
      <c r="E16" s="1">
        <v>379</v>
      </c>
      <c r="F16" s="2"/>
      <c r="G16" s="1">
        <v>291</v>
      </c>
      <c r="H16" s="1">
        <v>468</v>
      </c>
      <c r="I16" s="1">
        <v>381</v>
      </c>
      <c r="J16" s="1">
        <v>666</v>
      </c>
      <c r="K16" s="2"/>
      <c r="L16" s="1">
        <v>235</v>
      </c>
      <c r="M16" s="1">
        <v>1929</v>
      </c>
      <c r="N16" s="14">
        <v>926</v>
      </c>
      <c r="O16" s="14">
        <v>526</v>
      </c>
      <c r="P16" s="2"/>
      <c r="Q16" s="1">
        <v>669</v>
      </c>
      <c r="R16" s="1">
        <v>389</v>
      </c>
      <c r="S16" s="1">
        <v>981</v>
      </c>
      <c r="T16" s="1">
        <v>1709</v>
      </c>
      <c r="U16" s="2"/>
      <c r="V16" s="9">
        <v>670</v>
      </c>
      <c r="W16" s="9">
        <v>413</v>
      </c>
      <c r="X16" s="9">
        <v>4166</v>
      </c>
      <c r="Y16" s="9">
        <v>1125</v>
      </c>
      <c r="Z16" s="7"/>
    </row>
    <row r="17" spans="2:26">
      <c r="B17" s="1">
        <v>653</v>
      </c>
      <c r="C17" s="1">
        <v>70</v>
      </c>
      <c r="D17" s="1">
        <v>253</v>
      </c>
      <c r="E17" s="1">
        <v>338</v>
      </c>
      <c r="F17" s="2"/>
      <c r="G17" s="1">
        <v>309</v>
      </c>
      <c r="H17" s="1">
        <v>225</v>
      </c>
      <c r="I17" s="1">
        <v>328</v>
      </c>
      <c r="J17" s="1">
        <v>785</v>
      </c>
      <c r="K17" s="2"/>
      <c r="L17" s="1">
        <v>248</v>
      </c>
      <c r="M17" s="1">
        <v>1541</v>
      </c>
      <c r="N17" s="14">
        <v>940</v>
      </c>
      <c r="O17" s="14">
        <v>643</v>
      </c>
      <c r="P17" s="2"/>
      <c r="Q17" s="1">
        <v>916</v>
      </c>
      <c r="R17" s="1">
        <v>524</v>
      </c>
      <c r="S17" s="1">
        <v>3041</v>
      </c>
      <c r="T17" s="1">
        <v>919</v>
      </c>
      <c r="U17" s="2"/>
      <c r="V17" s="9">
        <v>627</v>
      </c>
      <c r="W17" s="9">
        <v>543</v>
      </c>
      <c r="X17" s="9">
        <v>2145</v>
      </c>
      <c r="Y17" s="9">
        <v>1063</v>
      </c>
      <c r="Z17" s="7"/>
    </row>
    <row r="18" spans="2:26">
      <c r="B18" s="1">
        <v>648</v>
      </c>
      <c r="C18" s="1">
        <v>90</v>
      </c>
      <c r="D18" s="1">
        <v>252</v>
      </c>
      <c r="E18" s="1">
        <v>334</v>
      </c>
      <c r="F18" s="2"/>
      <c r="G18" s="1">
        <v>346</v>
      </c>
      <c r="H18" s="1">
        <v>600</v>
      </c>
      <c r="I18" s="1">
        <v>356</v>
      </c>
      <c r="J18" s="1">
        <v>639</v>
      </c>
      <c r="K18" s="2"/>
      <c r="L18" s="1">
        <v>2667</v>
      </c>
      <c r="M18" s="1">
        <v>159</v>
      </c>
      <c r="N18" s="14">
        <v>1014</v>
      </c>
      <c r="O18" s="14">
        <v>542</v>
      </c>
      <c r="P18" s="2"/>
      <c r="Q18" s="1">
        <v>839</v>
      </c>
      <c r="R18" s="1">
        <v>359</v>
      </c>
      <c r="S18" s="1">
        <v>944</v>
      </c>
      <c r="T18" s="1">
        <v>1099</v>
      </c>
      <c r="U18" s="2"/>
      <c r="V18" s="9">
        <v>688</v>
      </c>
      <c r="W18" s="9">
        <v>844</v>
      </c>
      <c r="X18" s="9">
        <v>3923</v>
      </c>
      <c r="Y18" s="9">
        <v>1725</v>
      </c>
      <c r="Z18" s="7"/>
    </row>
    <row r="19" spans="2:26">
      <c r="B19" s="1">
        <v>688</v>
      </c>
      <c r="C19" s="1">
        <v>93</v>
      </c>
      <c r="D19" s="1">
        <v>252</v>
      </c>
      <c r="E19" s="1">
        <v>332</v>
      </c>
      <c r="F19" s="2"/>
      <c r="G19" s="1">
        <v>933</v>
      </c>
      <c r="H19" s="1">
        <v>204</v>
      </c>
      <c r="I19" s="1">
        <v>398</v>
      </c>
      <c r="J19" s="1">
        <v>711</v>
      </c>
      <c r="K19" s="2"/>
      <c r="L19" s="1">
        <v>238</v>
      </c>
      <c r="M19" s="1">
        <v>1991</v>
      </c>
      <c r="N19" s="14">
        <v>1000</v>
      </c>
      <c r="O19" s="14">
        <v>517</v>
      </c>
      <c r="P19" s="2"/>
      <c r="Q19" s="1">
        <v>643</v>
      </c>
      <c r="R19" s="1">
        <v>379</v>
      </c>
      <c r="S19" s="1">
        <v>1088</v>
      </c>
      <c r="T19" s="1">
        <v>1409</v>
      </c>
      <c r="U19" s="2"/>
      <c r="V19" s="9">
        <v>745</v>
      </c>
      <c r="W19" s="9">
        <v>1527</v>
      </c>
      <c r="X19" s="9">
        <v>1589</v>
      </c>
      <c r="Y19" s="9">
        <v>1176</v>
      </c>
      <c r="Z19" s="7"/>
    </row>
    <row r="20" spans="2:26">
      <c r="B20" s="1">
        <v>456</v>
      </c>
      <c r="C20" s="1">
        <v>69</v>
      </c>
      <c r="D20" s="1">
        <v>252</v>
      </c>
      <c r="E20" s="1">
        <v>333</v>
      </c>
      <c r="F20" s="2"/>
      <c r="G20" s="1">
        <v>447</v>
      </c>
      <c r="H20" s="1">
        <v>242</v>
      </c>
      <c r="I20" s="1">
        <v>3011</v>
      </c>
      <c r="J20" s="1">
        <v>388</v>
      </c>
      <c r="K20" s="2"/>
      <c r="L20" s="1">
        <v>301</v>
      </c>
      <c r="M20" s="1">
        <v>5404</v>
      </c>
      <c r="N20" s="14">
        <v>519</v>
      </c>
      <c r="O20" s="14">
        <v>810</v>
      </c>
      <c r="P20" s="2"/>
      <c r="Q20" s="1">
        <v>797</v>
      </c>
      <c r="R20" s="1">
        <v>409</v>
      </c>
      <c r="S20" s="1">
        <v>1352</v>
      </c>
      <c r="T20" s="1">
        <v>811</v>
      </c>
      <c r="U20" s="2"/>
      <c r="V20" s="9">
        <v>568</v>
      </c>
      <c r="W20" s="9">
        <v>730</v>
      </c>
      <c r="X20" s="9">
        <v>1017</v>
      </c>
      <c r="Y20" s="9">
        <v>1375</v>
      </c>
      <c r="Z20" s="7"/>
    </row>
    <row r="21" spans="2:26">
      <c r="B21" s="1">
        <v>458</v>
      </c>
      <c r="C21" s="1">
        <v>69</v>
      </c>
      <c r="D21" s="1">
        <v>253</v>
      </c>
      <c r="E21" s="1">
        <v>333</v>
      </c>
      <c r="F21" s="2"/>
      <c r="G21" s="1">
        <v>312</v>
      </c>
      <c r="H21" s="1">
        <v>175</v>
      </c>
      <c r="I21" s="1">
        <v>388</v>
      </c>
      <c r="J21" s="1">
        <v>443</v>
      </c>
      <c r="K21" s="2"/>
      <c r="L21" s="1">
        <v>4743</v>
      </c>
      <c r="M21" s="1">
        <v>191</v>
      </c>
      <c r="N21" s="14">
        <v>521</v>
      </c>
      <c r="O21" s="14">
        <v>614</v>
      </c>
      <c r="P21" s="2"/>
      <c r="Q21" s="1">
        <v>523</v>
      </c>
      <c r="R21" s="1">
        <v>314</v>
      </c>
      <c r="S21" s="1">
        <v>1503</v>
      </c>
      <c r="T21" s="1">
        <v>910</v>
      </c>
      <c r="U21" s="2"/>
      <c r="V21" s="9">
        <v>745</v>
      </c>
      <c r="W21" s="9">
        <v>1736</v>
      </c>
      <c r="X21" s="9">
        <v>1715</v>
      </c>
      <c r="Y21" s="9">
        <v>1415</v>
      </c>
      <c r="Z21" s="7"/>
    </row>
    <row r="22" spans="2:26">
      <c r="B22" s="1">
        <v>445</v>
      </c>
      <c r="C22" s="1">
        <v>69</v>
      </c>
      <c r="D22" s="1">
        <v>252</v>
      </c>
      <c r="E22" s="1">
        <v>389</v>
      </c>
      <c r="F22" s="2"/>
      <c r="G22" s="1">
        <v>450</v>
      </c>
      <c r="H22" s="1">
        <v>139</v>
      </c>
      <c r="I22" s="1">
        <v>412</v>
      </c>
      <c r="J22" s="1">
        <v>597</v>
      </c>
      <c r="K22" s="2"/>
      <c r="L22" s="1">
        <v>252</v>
      </c>
      <c r="M22" s="1">
        <v>3905</v>
      </c>
      <c r="N22" s="14">
        <v>434</v>
      </c>
      <c r="O22" s="14">
        <v>634</v>
      </c>
      <c r="P22" s="2"/>
      <c r="Q22" s="1">
        <v>478</v>
      </c>
      <c r="R22" s="1">
        <v>350</v>
      </c>
      <c r="S22" s="1">
        <v>1199</v>
      </c>
      <c r="T22" s="1">
        <v>2126</v>
      </c>
      <c r="U22" s="2"/>
      <c r="V22" s="9">
        <v>543</v>
      </c>
      <c r="W22" s="9">
        <v>1130</v>
      </c>
      <c r="X22" s="9">
        <v>1374</v>
      </c>
      <c r="Y22" s="9">
        <v>1800</v>
      </c>
      <c r="Z22" s="7"/>
    </row>
    <row r="23" spans="2:26">
      <c r="B23" s="1">
        <v>455</v>
      </c>
      <c r="C23" s="1">
        <v>84</v>
      </c>
      <c r="D23" s="1">
        <v>252</v>
      </c>
      <c r="E23" s="1">
        <v>335</v>
      </c>
      <c r="F23" s="2"/>
      <c r="G23" s="1">
        <v>291</v>
      </c>
      <c r="H23" s="1">
        <v>111</v>
      </c>
      <c r="I23" s="1">
        <v>948</v>
      </c>
      <c r="J23" s="1">
        <v>642</v>
      </c>
      <c r="K23" s="2"/>
      <c r="L23" s="1">
        <v>855</v>
      </c>
      <c r="M23" s="1">
        <v>2341</v>
      </c>
      <c r="N23" s="14">
        <v>5599</v>
      </c>
      <c r="O23" s="14">
        <v>487</v>
      </c>
      <c r="P23" s="2"/>
      <c r="Q23" s="1">
        <v>1163</v>
      </c>
      <c r="R23" s="1">
        <v>276</v>
      </c>
      <c r="S23" s="1">
        <v>1605</v>
      </c>
      <c r="T23" s="1">
        <v>2102</v>
      </c>
      <c r="U23" s="2"/>
      <c r="V23" s="9">
        <v>535</v>
      </c>
      <c r="W23" s="9">
        <v>796</v>
      </c>
      <c r="X23" s="9">
        <v>1329</v>
      </c>
      <c r="Y23" s="9">
        <v>1269</v>
      </c>
      <c r="Z23" s="7"/>
    </row>
    <row r="24" spans="2:26">
      <c r="B24" s="1">
        <v>472</v>
      </c>
      <c r="C24" s="1">
        <v>71</v>
      </c>
      <c r="D24" s="1">
        <v>253</v>
      </c>
      <c r="E24" s="1">
        <v>339</v>
      </c>
      <c r="F24" s="2"/>
      <c r="G24" s="1">
        <v>329</v>
      </c>
      <c r="H24" s="1">
        <v>102</v>
      </c>
      <c r="I24" s="1">
        <v>401</v>
      </c>
      <c r="J24" s="1">
        <v>654</v>
      </c>
      <c r="K24" s="2"/>
      <c r="L24" s="1">
        <v>547</v>
      </c>
      <c r="M24" s="1">
        <v>1679</v>
      </c>
      <c r="N24" s="14">
        <v>471</v>
      </c>
      <c r="O24" s="14">
        <v>545</v>
      </c>
      <c r="P24" s="2"/>
      <c r="Q24" s="1">
        <v>580</v>
      </c>
      <c r="R24" s="1">
        <v>295</v>
      </c>
      <c r="S24" s="1">
        <v>909</v>
      </c>
      <c r="T24" s="1">
        <v>1276</v>
      </c>
      <c r="U24" s="2"/>
      <c r="V24" s="9">
        <v>800</v>
      </c>
      <c r="W24" s="9">
        <v>586</v>
      </c>
      <c r="X24" s="9">
        <v>1182</v>
      </c>
      <c r="Y24" s="9">
        <v>1291</v>
      </c>
      <c r="Z24" s="7"/>
    </row>
    <row r="25" spans="2:26">
      <c r="B25" s="1">
        <v>448</v>
      </c>
      <c r="C25" s="1">
        <v>81</v>
      </c>
      <c r="D25" s="1">
        <v>253</v>
      </c>
      <c r="E25" s="1">
        <v>334</v>
      </c>
      <c r="F25" s="2"/>
      <c r="G25" s="1">
        <v>293</v>
      </c>
      <c r="H25" s="1">
        <v>2735</v>
      </c>
      <c r="I25" s="1">
        <v>398</v>
      </c>
      <c r="J25" s="1">
        <v>452</v>
      </c>
      <c r="K25" s="2"/>
      <c r="L25" s="1">
        <v>566</v>
      </c>
      <c r="M25" s="1">
        <v>165</v>
      </c>
      <c r="N25" s="14">
        <v>523</v>
      </c>
      <c r="O25" s="14">
        <v>783</v>
      </c>
      <c r="P25" s="2"/>
      <c r="Q25" s="1">
        <v>526</v>
      </c>
      <c r="R25" s="1">
        <v>305</v>
      </c>
      <c r="S25" s="1">
        <v>896</v>
      </c>
      <c r="T25" s="1">
        <v>1018</v>
      </c>
      <c r="U25" s="2"/>
      <c r="V25" s="9">
        <v>851</v>
      </c>
      <c r="W25" s="9">
        <v>406</v>
      </c>
      <c r="X25" s="9">
        <v>1202</v>
      </c>
      <c r="Y25" s="9">
        <v>1529</v>
      </c>
      <c r="Z25" s="7"/>
    </row>
    <row r="26" spans="2:26">
      <c r="B26" s="1">
        <v>489</v>
      </c>
      <c r="C26" s="1">
        <v>84</v>
      </c>
      <c r="D26" s="1">
        <v>253</v>
      </c>
      <c r="E26" s="1">
        <v>334</v>
      </c>
      <c r="F26" s="2"/>
      <c r="G26" s="1">
        <v>323</v>
      </c>
      <c r="H26" s="1">
        <v>869</v>
      </c>
      <c r="I26" s="1">
        <v>2212</v>
      </c>
      <c r="J26" s="1">
        <v>594</v>
      </c>
      <c r="K26" s="2"/>
      <c r="L26" s="1">
        <v>481</v>
      </c>
      <c r="M26" s="1">
        <v>165</v>
      </c>
      <c r="N26" s="14">
        <v>505</v>
      </c>
      <c r="O26" s="14">
        <v>629</v>
      </c>
      <c r="P26" s="2"/>
      <c r="Q26" s="1">
        <v>475</v>
      </c>
      <c r="R26" s="1">
        <v>301</v>
      </c>
      <c r="S26" s="1">
        <v>2784</v>
      </c>
      <c r="T26" s="1">
        <v>1007</v>
      </c>
      <c r="U26" s="2"/>
      <c r="V26" s="9">
        <v>729</v>
      </c>
      <c r="W26" s="9">
        <v>450</v>
      </c>
      <c r="X26" s="9">
        <v>1138</v>
      </c>
      <c r="Y26" s="9">
        <v>1380</v>
      </c>
      <c r="Z26" s="7"/>
    </row>
    <row r="27" spans="2:26">
      <c r="B27" s="1">
        <v>696</v>
      </c>
      <c r="C27" s="1">
        <v>72</v>
      </c>
      <c r="D27" s="1">
        <v>251</v>
      </c>
      <c r="E27" s="1">
        <v>336</v>
      </c>
      <c r="F27" s="2"/>
      <c r="G27" s="1">
        <v>464</v>
      </c>
      <c r="H27" s="1">
        <v>239</v>
      </c>
      <c r="I27" s="1">
        <v>1505</v>
      </c>
      <c r="J27" s="1">
        <v>487</v>
      </c>
      <c r="K27" s="2"/>
      <c r="L27" s="1">
        <v>579</v>
      </c>
      <c r="M27" s="1">
        <v>159</v>
      </c>
      <c r="N27" s="14">
        <v>451</v>
      </c>
      <c r="O27" s="14">
        <v>1089</v>
      </c>
      <c r="P27" s="2"/>
      <c r="Q27" s="1">
        <v>568</v>
      </c>
      <c r="R27" s="1">
        <v>314</v>
      </c>
      <c r="S27" s="1">
        <v>902</v>
      </c>
      <c r="T27" s="1">
        <v>949</v>
      </c>
      <c r="U27" s="2"/>
      <c r="V27" s="9">
        <v>819</v>
      </c>
      <c r="W27" s="9">
        <v>497</v>
      </c>
      <c r="X27" s="9">
        <v>1813</v>
      </c>
      <c r="Y27" s="9">
        <v>1285</v>
      </c>
      <c r="Z27" s="7"/>
    </row>
    <row r="28" spans="2:26">
      <c r="B28" s="1">
        <v>448</v>
      </c>
      <c r="C28" s="1">
        <v>82</v>
      </c>
      <c r="D28" s="1">
        <v>252</v>
      </c>
      <c r="E28" s="1">
        <v>334</v>
      </c>
      <c r="F28" s="2"/>
      <c r="G28" s="1">
        <v>296</v>
      </c>
      <c r="H28" s="1">
        <v>123</v>
      </c>
      <c r="I28" s="1">
        <v>1020</v>
      </c>
      <c r="J28" s="1">
        <v>621</v>
      </c>
      <c r="K28" s="2"/>
      <c r="L28" s="1">
        <v>319</v>
      </c>
      <c r="M28" s="1">
        <v>140</v>
      </c>
      <c r="N28" s="14">
        <v>482</v>
      </c>
      <c r="O28" s="14">
        <v>679</v>
      </c>
      <c r="P28" s="2"/>
      <c r="Q28" s="1">
        <v>479</v>
      </c>
      <c r="R28" s="1">
        <v>362</v>
      </c>
      <c r="S28" s="1">
        <v>932</v>
      </c>
      <c r="T28" s="1">
        <v>906</v>
      </c>
      <c r="U28" s="2"/>
      <c r="V28" s="9">
        <v>643</v>
      </c>
      <c r="W28" s="9">
        <v>469</v>
      </c>
      <c r="X28" s="9">
        <v>4440</v>
      </c>
      <c r="Y28" s="9">
        <v>1395</v>
      </c>
      <c r="Z28" s="7"/>
    </row>
    <row r="29" spans="2:26">
      <c r="B29" s="1">
        <v>492</v>
      </c>
      <c r="C29" s="1">
        <v>72</v>
      </c>
      <c r="D29" s="1">
        <v>252</v>
      </c>
      <c r="E29" s="1">
        <v>350</v>
      </c>
      <c r="F29" s="2"/>
      <c r="G29" s="1">
        <v>559</v>
      </c>
      <c r="H29" s="1">
        <v>234</v>
      </c>
      <c r="I29" s="1">
        <v>351</v>
      </c>
      <c r="J29" s="1">
        <v>647</v>
      </c>
      <c r="K29" s="2"/>
      <c r="L29" s="1">
        <v>368</v>
      </c>
      <c r="M29" s="1">
        <v>160</v>
      </c>
      <c r="N29" s="14">
        <v>536</v>
      </c>
      <c r="O29" s="14">
        <v>680</v>
      </c>
      <c r="P29" s="2"/>
      <c r="Q29" s="1">
        <v>575</v>
      </c>
      <c r="R29" s="1">
        <v>406</v>
      </c>
      <c r="S29" s="1">
        <v>2865</v>
      </c>
      <c r="T29" s="1">
        <v>939</v>
      </c>
      <c r="U29" s="2"/>
      <c r="V29" s="9">
        <v>699</v>
      </c>
      <c r="W29" s="9">
        <v>377</v>
      </c>
      <c r="X29" s="9">
        <v>1435</v>
      </c>
      <c r="Y29" s="9">
        <v>1201</v>
      </c>
      <c r="Z29" s="7"/>
    </row>
    <row r="30" spans="2:26">
      <c r="B30" s="1">
        <v>512</v>
      </c>
      <c r="C30" s="1">
        <v>74</v>
      </c>
      <c r="D30" s="1">
        <v>253</v>
      </c>
      <c r="E30" s="1">
        <v>333</v>
      </c>
      <c r="F30" s="2"/>
      <c r="G30" s="1">
        <v>380</v>
      </c>
      <c r="H30" s="1">
        <v>189</v>
      </c>
      <c r="I30" s="1">
        <v>1706</v>
      </c>
      <c r="J30" s="1">
        <v>725</v>
      </c>
      <c r="K30" s="2"/>
      <c r="L30" s="1">
        <v>241</v>
      </c>
      <c r="M30" s="1">
        <v>200</v>
      </c>
      <c r="N30" s="14">
        <v>1087</v>
      </c>
      <c r="O30" s="14">
        <v>698</v>
      </c>
      <c r="P30" s="2"/>
      <c r="Q30" s="1">
        <v>464</v>
      </c>
      <c r="R30" s="1">
        <v>326</v>
      </c>
      <c r="S30" s="1">
        <v>993</v>
      </c>
      <c r="T30" s="1">
        <v>1107</v>
      </c>
      <c r="U30" s="2"/>
      <c r="V30" s="9">
        <v>656</v>
      </c>
      <c r="W30" s="9">
        <v>484</v>
      </c>
      <c r="X30" s="9">
        <v>1194</v>
      </c>
      <c r="Y30" s="9">
        <v>1229</v>
      </c>
      <c r="Z30" s="7"/>
    </row>
    <row r="31" spans="2:26">
      <c r="B31" s="1">
        <v>448</v>
      </c>
      <c r="C31" s="1">
        <v>69</v>
      </c>
      <c r="D31" s="1">
        <v>252</v>
      </c>
      <c r="E31" s="1">
        <v>334</v>
      </c>
      <c r="F31" s="2"/>
      <c r="G31" s="1">
        <v>465</v>
      </c>
      <c r="H31" s="1">
        <v>1264</v>
      </c>
      <c r="I31" s="1">
        <v>887</v>
      </c>
      <c r="J31" s="1">
        <v>571</v>
      </c>
      <c r="K31" s="2"/>
      <c r="L31" s="1">
        <v>291</v>
      </c>
      <c r="M31" s="1">
        <v>1690</v>
      </c>
      <c r="N31" s="14">
        <v>1034</v>
      </c>
      <c r="O31" s="14">
        <v>757</v>
      </c>
      <c r="P31" s="2"/>
      <c r="Q31" s="1">
        <v>635</v>
      </c>
      <c r="R31" s="1">
        <v>319</v>
      </c>
      <c r="S31" s="1">
        <v>935</v>
      </c>
      <c r="T31" s="1">
        <v>948</v>
      </c>
      <c r="U31" s="2"/>
      <c r="V31" s="9">
        <v>638</v>
      </c>
      <c r="W31" s="9">
        <v>995</v>
      </c>
      <c r="X31" s="9">
        <v>1799</v>
      </c>
      <c r="Y31" s="9">
        <v>1586</v>
      </c>
      <c r="Z31" s="7"/>
    </row>
    <row r="32" spans="2:26">
      <c r="B32" s="1">
        <v>480</v>
      </c>
      <c r="C32" s="1">
        <v>84</v>
      </c>
      <c r="D32" s="1">
        <v>253</v>
      </c>
      <c r="E32" s="1">
        <v>344</v>
      </c>
      <c r="F32" s="2"/>
      <c r="G32" s="1">
        <v>296</v>
      </c>
      <c r="H32" s="1">
        <v>121</v>
      </c>
      <c r="I32" s="1">
        <v>328</v>
      </c>
      <c r="J32" s="1">
        <v>432</v>
      </c>
      <c r="K32" s="2"/>
      <c r="L32" s="1">
        <v>246</v>
      </c>
      <c r="M32" s="1">
        <v>174</v>
      </c>
      <c r="N32" s="14">
        <v>863</v>
      </c>
      <c r="O32" s="14">
        <v>502</v>
      </c>
      <c r="P32" s="2"/>
      <c r="Q32" s="1">
        <v>600</v>
      </c>
      <c r="R32" s="1">
        <v>297</v>
      </c>
      <c r="S32" s="1">
        <v>969</v>
      </c>
      <c r="T32" s="1">
        <v>1383</v>
      </c>
      <c r="U32" s="2"/>
      <c r="V32" s="9">
        <v>623</v>
      </c>
      <c r="W32" s="9">
        <v>440</v>
      </c>
      <c r="X32" s="9">
        <v>1524</v>
      </c>
      <c r="Y32" s="9">
        <v>1878</v>
      </c>
      <c r="Z32" s="7"/>
    </row>
    <row r="33" spans="1:31">
      <c r="B33" s="1">
        <v>451</v>
      </c>
      <c r="C33" s="1">
        <v>73</v>
      </c>
      <c r="D33" s="1">
        <v>252</v>
      </c>
      <c r="E33" s="1">
        <v>333</v>
      </c>
      <c r="F33" s="2"/>
      <c r="G33" s="1">
        <v>352</v>
      </c>
      <c r="H33" s="1">
        <v>235</v>
      </c>
      <c r="I33" s="1">
        <v>322</v>
      </c>
      <c r="J33" s="1">
        <v>577</v>
      </c>
      <c r="K33" s="2"/>
      <c r="L33" s="1">
        <v>429</v>
      </c>
      <c r="M33" s="1">
        <v>169</v>
      </c>
      <c r="N33" s="14">
        <v>1056</v>
      </c>
      <c r="O33" s="14">
        <v>533</v>
      </c>
      <c r="P33" s="2"/>
      <c r="Q33" s="1">
        <v>855</v>
      </c>
      <c r="R33" s="1">
        <v>414</v>
      </c>
      <c r="S33" s="1">
        <v>1106</v>
      </c>
      <c r="T33" s="1">
        <v>1237</v>
      </c>
      <c r="U33" s="2"/>
      <c r="V33" s="9">
        <v>587</v>
      </c>
      <c r="W33" s="9">
        <v>437</v>
      </c>
      <c r="X33" s="9">
        <v>1708</v>
      </c>
      <c r="Y33" s="9">
        <v>1224</v>
      </c>
      <c r="Z33" s="7"/>
    </row>
    <row r="34" spans="1:31">
      <c r="B34" s="1">
        <v>590</v>
      </c>
      <c r="C34" s="1">
        <v>88</v>
      </c>
      <c r="D34" s="1">
        <v>252</v>
      </c>
      <c r="E34" s="1">
        <v>333</v>
      </c>
      <c r="F34" s="2"/>
      <c r="G34" s="1">
        <v>356</v>
      </c>
      <c r="H34" s="1">
        <v>129</v>
      </c>
      <c r="I34" s="1">
        <v>396</v>
      </c>
      <c r="J34" s="1">
        <v>569</v>
      </c>
      <c r="K34" s="2"/>
      <c r="L34" s="1">
        <v>250</v>
      </c>
      <c r="M34" s="1">
        <v>184</v>
      </c>
      <c r="N34" s="14">
        <v>2111</v>
      </c>
      <c r="O34" s="14">
        <v>612</v>
      </c>
      <c r="P34" s="2"/>
      <c r="Q34" s="1">
        <v>470</v>
      </c>
      <c r="R34" s="1">
        <v>366</v>
      </c>
      <c r="S34" s="1">
        <v>1083</v>
      </c>
      <c r="T34" s="1">
        <v>1729</v>
      </c>
      <c r="U34" s="2"/>
      <c r="V34" s="9">
        <v>709</v>
      </c>
      <c r="W34" s="9">
        <v>391</v>
      </c>
      <c r="X34" s="9">
        <v>2392</v>
      </c>
      <c r="Y34" s="9">
        <v>1795</v>
      </c>
      <c r="Z34" s="7"/>
    </row>
    <row r="35" spans="1:31">
      <c r="B35" s="1">
        <v>655</v>
      </c>
      <c r="C35" s="1">
        <v>73</v>
      </c>
      <c r="D35" s="1">
        <v>251</v>
      </c>
      <c r="E35" s="1">
        <v>338</v>
      </c>
      <c r="F35" s="2"/>
      <c r="G35" s="1">
        <v>403</v>
      </c>
      <c r="H35" s="1">
        <v>134</v>
      </c>
      <c r="I35" s="1">
        <v>180</v>
      </c>
      <c r="J35" s="1">
        <v>373</v>
      </c>
      <c r="K35" s="2"/>
      <c r="L35" s="1">
        <v>234</v>
      </c>
      <c r="M35" s="1">
        <v>151</v>
      </c>
      <c r="N35" s="14">
        <v>1449</v>
      </c>
      <c r="O35" s="24">
        <v>528</v>
      </c>
      <c r="P35" s="2"/>
      <c r="Q35" s="1">
        <v>475</v>
      </c>
      <c r="R35" s="1">
        <v>339</v>
      </c>
      <c r="S35" s="1">
        <v>1181</v>
      </c>
      <c r="T35" s="1">
        <v>1205</v>
      </c>
      <c r="U35" s="2"/>
      <c r="V35" s="9">
        <v>685</v>
      </c>
      <c r="W35" s="9">
        <v>535</v>
      </c>
      <c r="X35" s="9">
        <v>2835</v>
      </c>
      <c r="Y35" s="9">
        <v>1202</v>
      </c>
      <c r="Z35" s="7"/>
    </row>
    <row r="36" spans="1:31">
      <c r="A36" s="6" t="s">
        <v>10</v>
      </c>
      <c r="B36" s="3">
        <f>AVERAGE(B6:B35)</f>
        <v>574.73333333333335</v>
      </c>
      <c r="C36" s="3">
        <f t="shared" ref="C36:E36" si="0">AVERAGE(C6:C35)</f>
        <v>77.13333333333334</v>
      </c>
      <c r="D36" s="3">
        <f>AVERAGE(D6:D35)</f>
        <v>257.93333333333334</v>
      </c>
      <c r="E36" s="3">
        <f t="shared" si="0"/>
        <v>346.13333333333333</v>
      </c>
      <c r="F36" s="2"/>
      <c r="G36" s="3">
        <f>AVERAGE(G6:G35)</f>
        <v>376.73333333333335</v>
      </c>
      <c r="H36" s="3">
        <f>AVERAGE(H6:H35)</f>
        <v>432.6</v>
      </c>
      <c r="I36" s="3">
        <v>168</v>
      </c>
      <c r="J36" s="3">
        <f t="shared" ref="I36:J36" si="1">AVERAGE(J6:J35)</f>
        <v>577.76666666666665</v>
      </c>
      <c r="K36" s="2"/>
      <c r="L36" s="3">
        <f>AVERAGE(L6:L35)</f>
        <v>832.13333333333333</v>
      </c>
      <c r="M36" s="3">
        <f t="shared" ref="M36" si="2">AVERAGE(M6:M35)</f>
        <v>1354</v>
      </c>
      <c r="N36" s="15">
        <v>229</v>
      </c>
      <c r="O36" s="15">
        <f>AVERAGE(O6:O35)</f>
        <v>662.5333333333333</v>
      </c>
      <c r="P36" s="2"/>
      <c r="Q36" s="3">
        <f>AVERAGE(Q6:Q35)</f>
        <v>700.7</v>
      </c>
      <c r="R36" s="3">
        <f>AVERAGE(R6:R35)</f>
        <v>466.93333333333334</v>
      </c>
      <c r="S36" s="3">
        <v>448</v>
      </c>
      <c r="T36" s="3">
        <f>AVERAGE(T6:T35)</f>
        <v>1169.0333333333333</v>
      </c>
      <c r="U36" s="2"/>
      <c r="V36" s="11">
        <f>AVERAGE(V6:V35)</f>
        <v>710.5333333333333</v>
      </c>
      <c r="W36" s="11">
        <f t="shared" ref="W36:X36" si="3">AVERAGE(W6:W35)</f>
        <v>590.16666666666663</v>
      </c>
      <c r="X36" s="11">
        <v>430</v>
      </c>
      <c r="Y36" s="11">
        <f>AVERAGE(Y6:Y35)</f>
        <v>1366.1333333333334</v>
      </c>
      <c r="Z36" s="7"/>
    </row>
    <row r="37" spans="1:31">
      <c r="V37" s="7"/>
      <c r="W37" s="7"/>
      <c r="X37" s="7"/>
      <c r="Y37" s="7"/>
      <c r="Z37" s="7"/>
    </row>
    <row r="38" spans="1:31" ht="15.75" thickBot="1">
      <c r="V38" s="7"/>
      <c r="W38" s="7"/>
      <c r="X38" s="7"/>
      <c r="Y38" s="7"/>
      <c r="Z38" s="7"/>
    </row>
    <row r="39" spans="1:31" s="7" customFormat="1" ht="16.5" customHeight="1" thickBot="1">
      <c r="B39" s="66" t="s">
        <v>38</v>
      </c>
      <c r="C39" s="67"/>
      <c r="D39" s="67"/>
      <c r="E39" s="68"/>
      <c r="G39" s="66" t="s">
        <v>38</v>
      </c>
      <c r="H39" s="67"/>
      <c r="I39" s="67"/>
      <c r="J39" s="68"/>
      <c r="L39" s="66" t="s">
        <v>38</v>
      </c>
      <c r="M39" s="67"/>
      <c r="N39" s="67"/>
      <c r="O39" s="68"/>
      <c r="Q39" s="66" t="s">
        <v>38</v>
      </c>
      <c r="R39" s="67"/>
      <c r="S39" s="67"/>
      <c r="T39" s="68"/>
      <c r="V39" s="66" t="s">
        <v>38</v>
      </c>
      <c r="W39" s="67"/>
      <c r="X39" s="67"/>
      <c r="Y39" s="68"/>
      <c r="AA39" s="20"/>
      <c r="AB39" s="20"/>
      <c r="AC39" s="20"/>
      <c r="AD39" s="20"/>
      <c r="AE39" s="20"/>
    </row>
    <row r="40" spans="1:31" s="7" customFormat="1" ht="13.5" customHeight="1" thickBot="1">
      <c r="B40" s="63" t="s">
        <v>11</v>
      </c>
      <c r="C40" s="64"/>
      <c r="D40" s="64"/>
      <c r="E40" s="65"/>
      <c r="G40" s="59" t="s">
        <v>12</v>
      </c>
      <c r="H40" s="59"/>
      <c r="I40" s="59"/>
      <c r="J40" s="59"/>
      <c r="L40" s="59" t="s">
        <v>13</v>
      </c>
      <c r="M40" s="59"/>
      <c r="N40" s="59"/>
      <c r="O40" s="59"/>
      <c r="Q40" s="59" t="s">
        <v>14</v>
      </c>
      <c r="R40" s="59"/>
      <c r="S40" s="59"/>
      <c r="T40" s="59"/>
      <c r="V40" s="59" t="s">
        <v>15</v>
      </c>
      <c r="W40" s="59"/>
      <c r="X40" s="59"/>
      <c r="Y40" s="59"/>
      <c r="AA40" s="21"/>
      <c r="AB40" s="21"/>
      <c r="AC40" s="21"/>
      <c r="AD40" s="21"/>
      <c r="AE40" s="21"/>
    </row>
    <row r="41" spans="1:31" s="7" customFormat="1" ht="45.75" thickBot="1">
      <c r="B41" s="28" t="s">
        <v>6</v>
      </c>
      <c r="C41" s="44" t="s">
        <v>7</v>
      </c>
      <c r="D41" s="43" t="s">
        <v>8</v>
      </c>
      <c r="E41" s="43" t="s">
        <v>9</v>
      </c>
      <c r="G41" s="28" t="s">
        <v>6</v>
      </c>
      <c r="H41" s="44" t="s">
        <v>7</v>
      </c>
      <c r="I41" s="43" t="s">
        <v>8</v>
      </c>
      <c r="J41" s="43" t="s">
        <v>9</v>
      </c>
      <c r="L41" s="28" t="s">
        <v>6</v>
      </c>
      <c r="M41" s="44" t="s">
        <v>7</v>
      </c>
      <c r="N41" s="43" t="s">
        <v>8</v>
      </c>
      <c r="O41" s="43" t="s">
        <v>9</v>
      </c>
      <c r="Q41" s="28" t="s">
        <v>6</v>
      </c>
      <c r="R41" s="44" t="s">
        <v>7</v>
      </c>
      <c r="S41" s="43" t="s">
        <v>8</v>
      </c>
      <c r="T41" s="43" t="s">
        <v>9</v>
      </c>
      <c r="V41" s="28" t="s">
        <v>6</v>
      </c>
      <c r="W41" s="44" t="s">
        <v>7</v>
      </c>
      <c r="X41" s="43" t="s">
        <v>8</v>
      </c>
      <c r="Y41" s="43" t="s">
        <v>9</v>
      </c>
    </row>
    <row r="42" spans="1:31">
      <c r="B42" s="1">
        <v>3892</v>
      </c>
      <c r="C42" s="1">
        <v>730</v>
      </c>
      <c r="D42" s="1">
        <v>2164</v>
      </c>
      <c r="E42" s="1">
        <v>3699</v>
      </c>
      <c r="F42" s="2"/>
      <c r="G42" s="1">
        <v>4627</v>
      </c>
      <c r="H42" s="1">
        <v>383</v>
      </c>
      <c r="I42" s="1">
        <v>2135</v>
      </c>
      <c r="J42" s="1">
        <v>2189</v>
      </c>
      <c r="K42" s="2"/>
      <c r="L42" s="1">
        <v>5023</v>
      </c>
      <c r="M42" s="1">
        <v>322</v>
      </c>
      <c r="N42" s="1">
        <v>18817</v>
      </c>
      <c r="O42" s="14">
        <v>2120</v>
      </c>
      <c r="P42" s="2"/>
      <c r="Q42" s="1">
        <v>2273</v>
      </c>
      <c r="R42" s="1">
        <v>1239</v>
      </c>
      <c r="S42" s="1">
        <v>20755</v>
      </c>
      <c r="T42" s="1">
        <v>1939</v>
      </c>
      <c r="U42" s="2"/>
      <c r="V42" s="9">
        <v>1479</v>
      </c>
      <c r="W42" s="9">
        <v>707</v>
      </c>
      <c r="X42" s="9">
        <v>689</v>
      </c>
      <c r="Y42" s="9">
        <v>1828</v>
      </c>
      <c r="Z42" s="7"/>
    </row>
    <row r="43" spans="1:31">
      <c r="B43" s="1">
        <v>3823</v>
      </c>
      <c r="C43" s="1">
        <v>630</v>
      </c>
      <c r="D43" s="1">
        <v>2201</v>
      </c>
      <c r="E43" s="1">
        <v>3406</v>
      </c>
      <c r="F43" s="2"/>
      <c r="G43" s="1">
        <v>2743</v>
      </c>
      <c r="H43" s="1">
        <v>376</v>
      </c>
      <c r="I43" s="1">
        <v>2625</v>
      </c>
      <c r="J43" s="1">
        <v>1713</v>
      </c>
      <c r="K43" s="2"/>
      <c r="L43" s="1">
        <v>3422</v>
      </c>
      <c r="M43" s="1">
        <v>1128</v>
      </c>
      <c r="N43" s="1">
        <v>19418</v>
      </c>
      <c r="O43" s="14">
        <v>2046</v>
      </c>
      <c r="P43" s="2"/>
      <c r="Q43" s="1">
        <v>2116</v>
      </c>
      <c r="R43" s="1">
        <v>955</v>
      </c>
      <c r="S43" s="1">
        <v>20212</v>
      </c>
      <c r="T43" s="1">
        <v>1643</v>
      </c>
      <c r="U43" s="2"/>
      <c r="V43" s="9">
        <v>1514</v>
      </c>
      <c r="W43" s="9">
        <v>911</v>
      </c>
      <c r="X43" s="9">
        <v>653</v>
      </c>
      <c r="Y43" s="9">
        <v>1786</v>
      </c>
      <c r="Z43" s="7"/>
    </row>
    <row r="44" spans="1:31">
      <c r="B44" s="1">
        <v>3827</v>
      </c>
      <c r="C44" s="1">
        <v>740</v>
      </c>
      <c r="D44" s="1">
        <v>2220</v>
      </c>
      <c r="E44" s="1">
        <v>3191</v>
      </c>
      <c r="F44" s="2"/>
      <c r="G44" s="1">
        <v>2207</v>
      </c>
      <c r="H44" s="1">
        <v>407</v>
      </c>
      <c r="I44" s="1">
        <v>2111</v>
      </c>
      <c r="J44" s="1">
        <v>1704</v>
      </c>
      <c r="K44" s="2"/>
      <c r="L44" s="1">
        <v>7470</v>
      </c>
      <c r="M44" s="1">
        <v>273</v>
      </c>
      <c r="N44" s="1">
        <v>19801</v>
      </c>
      <c r="O44" s="14">
        <v>1943</v>
      </c>
      <c r="P44" s="2"/>
      <c r="Q44" s="1">
        <v>2044</v>
      </c>
      <c r="R44" s="1">
        <v>680</v>
      </c>
      <c r="S44" s="1">
        <v>18858</v>
      </c>
      <c r="T44" s="1">
        <v>2193</v>
      </c>
      <c r="U44" s="2"/>
      <c r="V44" s="9">
        <v>1476</v>
      </c>
      <c r="W44" s="9">
        <v>567</v>
      </c>
      <c r="X44" s="9">
        <v>592</v>
      </c>
      <c r="Y44" s="9">
        <v>1754</v>
      </c>
      <c r="Z44" s="7"/>
    </row>
    <row r="45" spans="1:31">
      <c r="B45" s="1">
        <v>3854</v>
      </c>
      <c r="C45" s="1">
        <v>777</v>
      </c>
      <c r="D45" s="1">
        <v>2149</v>
      </c>
      <c r="E45" s="1">
        <v>2921</v>
      </c>
      <c r="F45" s="2"/>
      <c r="G45" s="1">
        <v>1958</v>
      </c>
      <c r="H45" s="1">
        <v>370</v>
      </c>
      <c r="I45" s="1">
        <v>2346</v>
      </c>
      <c r="J45" s="1">
        <v>1733</v>
      </c>
      <c r="K45" s="2"/>
      <c r="L45" s="1">
        <v>2384</v>
      </c>
      <c r="M45" s="1">
        <v>4792</v>
      </c>
      <c r="N45" s="1">
        <v>20017</v>
      </c>
      <c r="O45" s="14">
        <v>1537</v>
      </c>
      <c r="P45" s="2"/>
      <c r="Q45" s="1">
        <v>1973</v>
      </c>
      <c r="R45" s="1">
        <v>1083</v>
      </c>
      <c r="S45" s="1">
        <v>17825</v>
      </c>
      <c r="T45" s="1">
        <v>1893</v>
      </c>
      <c r="U45" s="2"/>
      <c r="V45" s="9">
        <v>1758</v>
      </c>
      <c r="W45" s="9">
        <v>558</v>
      </c>
      <c r="X45" s="9">
        <v>672</v>
      </c>
      <c r="Y45" s="9">
        <v>1743</v>
      </c>
      <c r="Z45" s="7"/>
    </row>
    <row r="46" spans="1:31">
      <c r="B46" s="1">
        <v>3748</v>
      </c>
      <c r="C46" s="1">
        <v>641</v>
      </c>
      <c r="D46" s="1">
        <v>2183</v>
      </c>
      <c r="E46" s="1">
        <v>3166</v>
      </c>
      <c r="F46" s="2"/>
      <c r="G46" s="1">
        <v>1958</v>
      </c>
      <c r="H46" s="1">
        <v>346</v>
      </c>
      <c r="I46" s="1">
        <v>2012</v>
      </c>
      <c r="J46" s="1">
        <v>2553</v>
      </c>
      <c r="K46" s="2"/>
      <c r="L46" s="1">
        <v>1103</v>
      </c>
      <c r="M46" s="1">
        <v>6032</v>
      </c>
      <c r="N46" s="1">
        <v>16602</v>
      </c>
      <c r="O46" s="14">
        <v>2436</v>
      </c>
      <c r="P46" s="2"/>
      <c r="Q46" s="1">
        <v>1698</v>
      </c>
      <c r="R46" s="1">
        <v>960</v>
      </c>
      <c r="S46" s="1">
        <v>16636</v>
      </c>
      <c r="T46" s="1">
        <v>1893</v>
      </c>
      <c r="U46" s="2"/>
      <c r="V46" s="9">
        <v>2216</v>
      </c>
      <c r="W46" s="9">
        <v>659</v>
      </c>
      <c r="X46" s="9">
        <v>629</v>
      </c>
      <c r="Y46" s="9">
        <v>1633</v>
      </c>
      <c r="Z46" s="7"/>
    </row>
    <row r="47" spans="1:31">
      <c r="B47" s="1">
        <v>3789</v>
      </c>
      <c r="C47" s="1">
        <v>686</v>
      </c>
      <c r="D47" s="1">
        <v>2177</v>
      </c>
      <c r="E47" s="1">
        <v>3308</v>
      </c>
      <c r="F47" s="2"/>
      <c r="G47" s="1">
        <v>1976</v>
      </c>
      <c r="H47" s="1">
        <v>458</v>
      </c>
      <c r="I47" s="1">
        <v>2656</v>
      </c>
      <c r="J47" s="1">
        <v>2262</v>
      </c>
      <c r="K47" s="2"/>
      <c r="L47" s="1">
        <v>1128</v>
      </c>
      <c r="M47" s="1">
        <v>2854</v>
      </c>
      <c r="N47" s="1">
        <v>2955</v>
      </c>
      <c r="O47" s="14">
        <v>1779</v>
      </c>
      <c r="P47" s="2"/>
      <c r="Q47" s="1">
        <v>1678</v>
      </c>
      <c r="R47" s="1">
        <v>878</v>
      </c>
      <c r="S47" s="1">
        <v>20027</v>
      </c>
      <c r="T47" s="1">
        <v>1766</v>
      </c>
      <c r="U47" s="2"/>
      <c r="V47" s="9">
        <v>1860</v>
      </c>
      <c r="W47" s="9">
        <v>494</v>
      </c>
      <c r="X47" s="9">
        <v>717</v>
      </c>
      <c r="Y47" s="9">
        <v>1639</v>
      </c>
      <c r="Z47" s="7"/>
    </row>
    <row r="48" spans="1:31">
      <c r="B48" s="1">
        <v>4148</v>
      </c>
      <c r="C48" s="1">
        <v>1672</v>
      </c>
      <c r="D48" s="1">
        <v>2299</v>
      </c>
      <c r="E48" s="1">
        <v>3079</v>
      </c>
      <c r="F48" s="2"/>
      <c r="G48" s="1">
        <v>4198</v>
      </c>
      <c r="H48" s="1">
        <v>418</v>
      </c>
      <c r="I48" s="1">
        <v>2377</v>
      </c>
      <c r="J48" s="1">
        <v>2273</v>
      </c>
      <c r="K48" s="2"/>
      <c r="L48" s="1">
        <v>1101</v>
      </c>
      <c r="M48" s="1">
        <v>897</v>
      </c>
      <c r="N48" s="1">
        <v>8049</v>
      </c>
      <c r="O48" s="14">
        <v>2056</v>
      </c>
      <c r="P48" s="2"/>
      <c r="Q48" s="1">
        <v>1269</v>
      </c>
      <c r="R48" s="1">
        <v>675</v>
      </c>
      <c r="S48" s="1">
        <v>18020</v>
      </c>
      <c r="T48" s="1">
        <v>1917</v>
      </c>
      <c r="U48" s="2"/>
      <c r="V48" s="9">
        <v>1649</v>
      </c>
      <c r="W48" s="9">
        <v>709</v>
      </c>
      <c r="X48" s="9">
        <v>652</v>
      </c>
      <c r="Y48" s="9">
        <v>1736</v>
      </c>
      <c r="Z48" s="7"/>
    </row>
    <row r="49" spans="2:26">
      <c r="B49" s="1">
        <v>4099</v>
      </c>
      <c r="C49" s="1">
        <v>867</v>
      </c>
      <c r="D49" s="1">
        <v>2188</v>
      </c>
      <c r="E49" s="1">
        <v>3057</v>
      </c>
      <c r="F49" s="2"/>
      <c r="G49" s="1">
        <v>3370</v>
      </c>
      <c r="H49" s="1">
        <v>395</v>
      </c>
      <c r="I49" s="1">
        <v>2824</v>
      </c>
      <c r="J49" s="1">
        <v>2705</v>
      </c>
      <c r="K49" s="2"/>
      <c r="L49" s="1">
        <v>1176</v>
      </c>
      <c r="M49" s="1">
        <v>5682</v>
      </c>
      <c r="N49" s="1">
        <v>13421</v>
      </c>
      <c r="O49" s="14">
        <v>2235</v>
      </c>
      <c r="P49" s="2"/>
      <c r="Q49" s="1">
        <v>1707</v>
      </c>
      <c r="R49" s="1">
        <v>511</v>
      </c>
      <c r="S49" s="1">
        <v>686</v>
      </c>
      <c r="T49" s="1">
        <v>1772</v>
      </c>
      <c r="U49" s="2"/>
      <c r="V49" s="9">
        <v>1575</v>
      </c>
      <c r="W49" s="9">
        <v>624</v>
      </c>
      <c r="X49" s="9">
        <v>838</v>
      </c>
      <c r="Y49" s="9">
        <v>1720</v>
      </c>
      <c r="Z49" s="7"/>
    </row>
    <row r="50" spans="2:26">
      <c r="B50" s="1">
        <v>5589</v>
      </c>
      <c r="C50" s="1">
        <v>702</v>
      </c>
      <c r="D50" s="1">
        <v>2201</v>
      </c>
      <c r="E50" s="1">
        <v>2805</v>
      </c>
      <c r="F50" s="2"/>
      <c r="G50" s="1">
        <v>2202</v>
      </c>
      <c r="H50" s="1">
        <v>411</v>
      </c>
      <c r="I50" s="1">
        <v>2742</v>
      </c>
      <c r="J50" s="1">
        <v>2367</v>
      </c>
      <c r="K50" s="2"/>
      <c r="L50" s="1">
        <v>1807</v>
      </c>
      <c r="M50" s="1">
        <v>4216</v>
      </c>
      <c r="N50" s="1">
        <v>19373</v>
      </c>
      <c r="O50" s="14">
        <v>1906</v>
      </c>
      <c r="P50" s="2"/>
      <c r="Q50" s="1">
        <v>1856</v>
      </c>
      <c r="R50" s="1">
        <v>506</v>
      </c>
      <c r="S50" s="1">
        <v>837</v>
      </c>
      <c r="T50" s="1">
        <v>1744</v>
      </c>
      <c r="U50" s="2"/>
      <c r="V50" s="9">
        <v>1610</v>
      </c>
      <c r="W50" s="9">
        <v>567</v>
      </c>
      <c r="X50" s="9">
        <v>661</v>
      </c>
      <c r="Y50" s="9">
        <v>2086</v>
      </c>
      <c r="Z50" s="7"/>
    </row>
    <row r="51" spans="2:26">
      <c r="B51" s="1">
        <v>3802</v>
      </c>
      <c r="C51" s="1">
        <v>560</v>
      </c>
      <c r="D51" s="1">
        <v>2171</v>
      </c>
      <c r="E51" s="1">
        <v>2862</v>
      </c>
      <c r="F51" s="2"/>
      <c r="G51" s="1">
        <v>2388</v>
      </c>
      <c r="H51" s="1">
        <v>365</v>
      </c>
      <c r="I51" s="1">
        <v>26767</v>
      </c>
      <c r="J51" s="1">
        <v>2362</v>
      </c>
      <c r="K51" s="2"/>
      <c r="L51" s="1">
        <v>1730</v>
      </c>
      <c r="M51" s="1">
        <v>4402</v>
      </c>
      <c r="N51" s="1">
        <v>18941</v>
      </c>
      <c r="O51" s="14">
        <v>2291</v>
      </c>
      <c r="P51" s="2"/>
      <c r="Q51" s="1">
        <v>1645</v>
      </c>
      <c r="R51" s="1">
        <v>521</v>
      </c>
      <c r="S51" s="1">
        <v>769</v>
      </c>
      <c r="T51" s="1">
        <v>1834</v>
      </c>
      <c r="U51" s="2"/>
      <c r="V51" s="9">
        <v>1500</v>
      </c>
      <c r="W51" s="9">
        <v>578</v>
      </c>
      <c r="X51" s="9">
        <v>621</v>
      </c>
      <c r="Y51" s="9">
        <v>2019</v>
      </c>
      <c r="Z51" s="7"/>
    </row>
    <row r="52" spans="2:26">
      <c r="B52" s="1">
        <v>3840</v>
      </c>
      <c r="C52" s="1">
        <v>603</v>
      </c>
      <c r="D52" s="1">
        <v>2091</v>
      </c>
      <c r="E52" s="1">
        <v>2948</v>
      </c>
      <c r="F52" s="2"/>
      <c r="G52" s="1">
        <v>2585</v>
      </c>
      <c r="H52" s="1">
        <v>480</v>
      </c>
      <c r="I52" s="1">
        <v>2092</v>
      </c>
      <c r="J52" s="1">
        <v>2679</v>
      </c>
      <c r="K52" s="2"/>
      <c r="L52" s="1">
        <v>1096</v>
      </c>
      <c r="M52" s="1">
        <v>3741</v>
      </c>
      <c r="N52" s="1">
        <v>718</v>
      </c>
      <c r="O52" s="14">
        <v>1997</v>
      </c>
      <c r="P52" s="2"/>
      <c r="Q52" s="1">
        <v>1241</v>
      </c>
      <c r="R52" s="1">
        <v>433</v>
      </c>
      <c r="S52" s="1">
        <v>626</v>
      </c>
      <c r="T52" s="1">
        <v>1705</v>
      </c>
      <c r="U52" s="2"/>
      <c r="V52" s="9">
        <v>1488</v>
      </c>
      <c r="W52" s="9">
        <v>556</v>
      </c>
      <c r="X52" s="9">
        <v>644</v>
      </c>
      <c r="Y52" s="9">
        <v>2144</v>
      </c>
      <c r="Z52" s="7"/>
    </row>
    <row r="53" spans="2:26">
      <c r="B53" s="1">
        <v>3829</v>
      </c>
      <c r="C53" s="1">
        <v>593</v>
      </c>
      <c r="D53" s="1">
        <v>2102</v>
      </c>
      <c r="E53" s="1">
        <v>2788</v>
      </c>
      <c r="F53" s="2"/>
      <c r="G53" s="1">
        <v>2041</v>
      </c>
      <c r="H53" s="1">
        <v>438</v>
      </c>
      <c r="I53" s="1">
        <v>2394</v>
      </c>
      <c r="J53" s="1">
        <v>2906</v>
      </c>
      <c r="K53" s="2"/>
      <c r="L53" s="1">
        <v>1092</v>
      </c>
      <c r="M53" s="1">
        <v>656</v>
      </c>
      <c r="N53" s="1">
        <v>687</v>
      </c>
      <c r="O53" s="14">
        <v>1877</v>
      </c>
      <c r="P53" s="2"/>
      <c r="Q53" s="1">
        <v>1263</v>
      </c>
      <c r="R53" s="1">
        <v>519</v>
      </c>
      <c r="S53" s="1">
        <v>615</v>
      </c>
      <c r="T53" s="1">
        <v>1967</v>
      </c>
      <c r="U53" s="2"/>
      <c r="V53" s="9">
        <v>1457</v>
      </c>
      <c r="W53" s="9">
        <v>785</v>
      </c>
      <c r="X53" s="9">
        <v>705</v>
      </c>
      <c r="Y53" s="9">
        <v>1803</v>
      </c>
      <c r="Z53" s="7"/>
    </row>
    <row r="54" spans="2:26">
      <c r="B54" s="1">
        <v>3852</v>
      </c>
      <c r="C54" s="1">
        <v>637</v>
      </c>
      <c r="D54" s="1">
        <v>2103</v>
      </c>
      <c r="E54" s="1">
        <v>2775</v>
      </c>
      <c r="F54" s="2"/>
      <c r="G54" s="1">
        <v>2742</v>
      </c>
      <c r="H54" s="1">
        <v>440</v>
      </c>
      <c r="I54" s="1">
        <v>22381</v>
      </c>
      <c r="J54" s="1">
        <v>2194</v>
      </c>
      <c r="K54" s="2"/>
      <c r="L54" s="1">
        <v>1281</v>
      </c>
      <c r="M54" s="1">
        <v>1781</v>
      </c>
      <c r="N54" s="1">
        <v>779</v>
      </c>
      <c r="O54" s="14">
        <v>2152</v>
      </c>
      <c r="P54" s="2"/>
      <c r="Q54" s="1">
        <v>1400</v>
      </c>
      <c r="R54" s="1">
        <v>459</v>
      </c>
      <c r="S54" s="1">
        <v>673</v>
      </c>
      <c r="T54" s="1">
        <v>1860</v>
      </c>
      <c r="U54" s="2"/>
      <c r="V54" s="9">
        <v>1488</v>
      </c>
      <c r="W54" s="9">
        <v>615</v>
      </c>
      <c r="X54" s="9">
        <v>655</v>
      </c>
      <c r="Y54" s="9">
        <v>2060</v>
      </c>
      <c r="Z54" s="7"/>
    </row>
    <row r="55" spans="2:26">
      <c r="B55" s="1">
        <v>3845</v>
      </c>
      <c r="C55" s="1">
        <v>609</v>
      </c>
      <c r="D55" s="1">
        <v>2392</v>
      </c>
      <c r="E55" s="1">
        <v>2903</v>
      </c>
      <c r="F55" s="2"/>
      <c r="G55" s="1">
        <v>2015</v>
      </c>
      <c r="H55" s="1">
        <v>726</v>
      </c>
      <c r="I55" s="1">
        <v>2455</v>
      </c>
      <c r="J55" s="1">
        <v>2388</v>
      </c>
      <c r="K55" s="2"/>
      <c r="L55" s="1">
        <v>1070</v>
      </c>
      <c r="M55" s="1">
        <v>3289</v>
      </c>
      <c r="N55" s="1">
        <v>690</v>
      </c>
      <c r="O55" s="14">
        <v>2127</v>
      </c>
      <c r="P55" s="2"/>
      <c r="Q55" s="1">
        <v>1893</v>
      </c>
      <c r="R55" s="1">
        <v>579</v>
      </c>
      <c r="S55" s="1">
        <v>613</v>
      </c>
      <c r="T55" s="1">
        <v>1774</v>
      </c>
      <c r="U55" s="2"/>
      <c r="V55" s="9">
        <v>1595</v>
      </c>
      <c r="W55" s="9">
        <v>605</v>
      </c>
      <c r="X55" s="9">
        <v>717</v>
      </c>
      <c r="Y55" s="9">
        <v>2142</v>
      </c>
      <c r="Z55" s="7"/>
    </row>
    <row r="56" spans="2:26">
      <c r="B56" s="1">
        <v>3762</v>
      </c>
      <c r="C56" s="1">
        <v>705</v>
      </c>
      <c r="D56" s="1">
        <v>2512</v>
      </c>
      <c r="E56" s="1">
        <v>2918</v>
      </c>
      <c r="F56" s="2"/>
      <c r="G56" s="1">
        <v>5726</v>
      </c>
      <c r="H56" s="1">
        <v>1387</v>
      </c>
      <c r="I56" s="1">
        <v>2733</v>
      </c>
      <c r="J56" s="1">
        <v>1920</v>
      </c>
      <c r="K56" s="2"/>
      <c r="L56" s="1">
        <v>1670</v>
      </c>
      <c r="M56" s="1">
        <v>3643</v>
      </c>
      <c r="N56" s="1">
        <v>816</v>
      </c>
      <c r="O56" s="14">
        <v>2126</v>
      </c>
      <c r="P56" s="2"/>
      <c r="Q56" s="1">
        <v>2252</v>
      </c>
      <c r="R56" s="1">
        <v>572</v>
      </c>
      <c r="S56" s="1">
        <v>606</v>
      </c>
      <c r="T56" s="1">
        <v>2239</v>
      </c>
      <c r="U56" s="2"/>
      <c r="V56" s="9">
        <v>1640</v>
      </c>
      <c r="W56" s="9">
        <v>653</v>
      </c>
      <c r="X56" s="9">
        <v>834</v>
      </c>
      <c r="Y56" s="9">
        <v>2250</v>
      </c>
      <c r="Z56" s="7"/>
    </row>
    <row r="57" spans="2:26">
      <c r="B57" s="1">
        <v>3792</v>
      </c>
      <c r="C57" s="1">
        <v>577</v>
      </c>
      <c r="D57" s="1">
        <v>2100</v>
      </c>
      <c r="E57" s="1">
        <v>2909</v>
      </c>
      <c r="F57" s="2"/>
      <c r="G57" s="1">
        <v>2108</v>
      </c>
      <c r="H57" s="1">
        <v>925</v>
      </c>
      <c r="I57" s="1">
        <v>29857</v>
      </c>
      <c r="J57" s="1">
        <v>2334</v>
      </c>
      <c r="K57" s="2"/>
      <c r="L57" s="1">
        <v>1235</v>
      </c>
      <c r="M57" s="1">
        <v>1279</v>
      </c>
      <c r="N57" s="1">
        <v>787</v>
      </c>
      <c r="O57" s="14">
        <v>2017</v>
      </c>
      <c r="P57" s="2"/>
      <c r="Q57" s="1">
        <v>1345</v>
      </c>
      <c r="R57" s="1">
        <v>902</v>
      </c>
      <c r="S57" s="1">
        <v>732</v>
      </c>
      <c r="T57" s="1">
        <v>1426</v>
      </c>
      <c r="U57" s="2"/>
      <c r="V57" s="9">
        <v>1561</v>
      </c>
      <c r="W57" s="9">
        <v>509</v>
      </c>
      <c r="X57" s="9">
        <v>652</v>
      </c>
      <c r="Y57" s="9">
        <v>1864</v>
      </c>
      <c r="Z57" s="7"/>
    </row>
    <row r="58" spans="2:26">
      <c r="B58" s="1">
        <v>3804</v>
      </c>
      <c r="C58" s="1">
        <v>625</v>
      </c>
      <c r="D58" s="1">
        <v>2052</v>
      </c>
      <c r="E58" s="1">
        <v>2977</v>
      </c>
      <c r="F58" s="2"/>
      <c r="G58" s="1">
        <v>2066</v>
      </c>
      <c r="H58" s="1">
        <v>345</v>
      </c>
      <c r="I58" s="1">
        <v>2793</v>
      </c>
      <c r="J58" s="1">
        <v>2658</v>
      </c>
      <c r="K58" s="2"/>
      <c r="L58" s="1">
        <v>1154</v>
      </c>
      <c r="M58" s="1">
        <v>1203</v>
      </c>
      <c r="N58" s="1">
        <v>818</v>
      </c>
      <c r="O58" s="14">
        <v>1442</v>
      </c>
      <c r="P58" s="2"/>
      <c r="Q58" s="1">
        <v>1329</v>
      </c>
      <c r="R58" s="1">
        <v>783</v>
      </c>
      <c r="S58" s="1">
        <v>658</v>
      </c>
      <c r="T58" s="1">
        <v>1502</v>
      </c>
      <c r="U58" s="2"/>
      <c r="V58" s="9">
        <v>1452</v>
      </c>
      <c r="W58" s="9">
        <v>561</v>
      </c>
      <c r="X58" s="9">
        <v>649</v>
      </c>
      <c r="Y58" s="9">
        <v>2736</v>
      </c>
      <c r="Z58" s="7"/>
    </row>
    <row r="59" spans="2:26">
      <c r="B59" s="1">
        <v>6071</v>
      </c>
      <c r="C59" s="1">
        <v>723</v>
      </c>
      <c r="D59" s="1">
        <v>2096</v>
      </c>
      <c r="E59" s="1">
        <v>2963</v>
      </c>
      <c r="F59" s="2"/>
      <c r="G59" s="1">
        <v>2017</v>
      </c>
      <c r="H59" s="1">
        <v>361</v>
      </c>
      <c r="I59" s="1">
        <v>2873</v>
      </c>
      <c r="J59" s="1">
        <v>2860</v>
      </c>
      <c r="K59" s="2"/>
      <c r="L59" s="1">
        <v>1177</v>
      </c>
      <c r="M59" s="1">
        <v>1024</v>
      </c>
      <c r="N59" s="1">
        <v>828</v>
      </c>
      <c r="O59" s="14">
        <v>1600</v>
      </c>
      <c r="P59" s="2"/>
      <c r="Q59" s="1">
        <v>1266</v>
      </c>
      <c r="R59" s="1">
        <v>1943</v>
      </c>
      <c r="S59" s="1">
        <v>619</v>
      </c>
      <c r="T59" s="1">
        <v>2019</v>
      </c>
      <c r="U59" s="2"/>
      <c r="V59" s="9">
        <v>2015</v>
      </c>
      <c r="W59" s="9">
        <v>598</v>
      </c>
      <c r="X59" s="9">
        <v>633</v>
      </c>
      <c r="Y59" s="9">
        <v>2328</v>
      </c>
      <c r="Z59" s="7"/>
    </row>
    <row r="60" spans="2:26">
      <c r="B60" s="1">
        <v>4265</v>
      </c>
      <c r="C60" s="1">
        <v>722</v>
      </c>
      <c r="D60" s="1">
        <v>2051</v>
      </c>
      <c r="E60" s="1">
        <v>3076</v>
      </c>
      <c r="F60" s="2"/>
      <c r="G60" s="1">
        <v>3833</v>
      </c>
      <c r="H60" s="1">
        <v>407</v>
      </c>
      <c r="I60" s="1">
        <v>3116</v>
      </c>
      <c r="J60" s="1">
        <v>1634</v>
      </c>
      <c r="K60" s="2"/>
      <c r="L60" s="1">
        <v>1145</v>
      </c>
      <c r="M60" s="1">
        <v>3402</v>
      </c>
      <c r="N60" s="1">
        <v>790</v>
      </c>
      <c r="O60" s="14">
        <v>2052</v>
      </c>
      <c r="P60" s="2"/>
      <c r="Q60" s="1">
        <v>1329</v>
      </c>
      <c r="R60" s="1">
        <v>843</v>
      </c>
      <c r="S60" s="1">
        <v>646</v>
      </c>
      <c r="T60" s="1">
        <v>1807</v>
      </c>
      <c r="U60" s="2"/>
      <c r="V60" s="9">
        <v>2252</v>
      </c>
      <c r="W60" s="9">
        <v>723</v>
      </c>
      <c r="X60" s="9">
        <v>1753</v>
      </c>
      <c r="Y60" s="9">
        <v>2084</v>
      </c>
      <c r="Z60" s="7"/>
    </row>
    <row r="61" spans="2:26">
      <c r="B61" s="1">
        <v>7378</v>
      </c>
      <c r="C61" s="1">
        <v>552</v>
      </c>
      <c r="D61" s="1">
        <v>2182</v>
      </c>
      <c r="E61" s="1">
        <v>3100</v>
      </c>
      <c r="F61" s="2"/>
      <c r="G61" s="1">
        <v>2528</v>
      </c>
      <c r="H61" s="1">
        <v>389</v>
      </c>
      <c r="I61" s="1">
        <v>2316</v>
      </c>
      <c r="J61" s="1">
        <v>2316</v>
      </c>
      <c r="K61" s="2"/>
      <c r="L61" s="1">
        <v>1233</v>
      </c>
      <c r="M61" s="1">
        <v>6571</v>
      </c>
      <c r="N61" s="1">
        <v>783</v>
      </c>
      <c r="O61" s="14">
        <v>2167</v>
      </c>
      <c r="P61" s="2"/>
      <c r="Q61" s="1">
        <v>1300</v>
      </c>
      <c r="R61" s="1">
        <v>927</v>
      </c>
      <c r="S61" s="1">
        <v>628</v>
      </c>
      <c r="T61" s="1">
        <v>1510</v>
      </c>
      <c r="U61" s="2"/>
      <c r="V61" s="9">
        <v>2450</v>
      </c>
      <c r="W61" s="9">
        <v>541</v>
      </c>
      <c r="X61" s="9">
        <v>788</v>
      </c>
      <c r="Y61" s="9">
        <v>1701</v>
      </c>
      <c r="Z61" s="7"/>
    </row>
    <row r="62" spans="2:26">
      <c r="B62" s="1">
        <v>3976</v>
      </c>
      <c r="C62" s="1">
        <v>611</v>
      </c>
      <c r="D62" s="1">
        <v>2101</v>
      </c>
      <c r="E62" s="1">
        <v>3891</v>
      </c>
      <c r="F62" s="2"/>
      <c r="G62" s="1">
        <v>4246</v>
      </c>
      <c r="H62" s="1">
        <v>436</v>
      </c>
      <c r="I62" s="1">
        <v>2590</v>
      </c>
      <c r="J62" s="1">
        <v>2464</v>
      </c>
      <c r="K62" s="2"/>
      <c r="L62" s="1">
        <v>2875</v>
      </c>
      <c r="M62" s="1">
        <v>422</v>
      </c>
      <c r="N62" s="1">
        <v>793</v>
      </c>
      <c r="O62" s="14">
        <v>1572</v>
      </c>
      <c r="P62" s="2"/>
      <c r="Q62" s="1">
        <v>1329</v>
      </c>
      <c r="R62" s="1">
        <v>961</v>
      </c>
      <c r="S62" s="1">
        <v>674</v>
      </c>
      <c r="T62" s="1">
        <v>1457</v>
      </c>
      <c r="U62" s="2"/>
      <c r="V62" s="9">
        <v>1942</v>
      </c>
      <c r="W62" s="9">
        <v>533</v>
      </c>
      <c r="X62" s="9">
        <v>712</v>
      </c>
      <c r="Y62" s="9">
        <v>2109</v>
      </c>
      <c r="Z62" s="7"/>
    </row>
    <row r="63" spans="2:26">
      <c r="B63" s="1">
        <v>3807</v>
      </c>
      <c r="C63" s="1">
        <v>594</v>
      </c>
      <c r="D63" s="1">
        <v>2064</v>
      </c>
      <c r="E63" s="1">
        <v>3144</v>
      </c>
      <c r="F63" s="2"/>
      <c r="G63" s="1">
        <v>2322</v>
      </c>
      <c r="H63" s="1">
        <v>442</v>
      </c>
      <c r="I63" s="1">
        <v>2747</v>
      </c>
      <c r="J63" s="1">
        <v>2482</v>
      </c>
      <c r="K63" s="2"/>
      <c r="L63" s="1">
        <v>1241</v>
      </c>
      <c r="M63" s="1">
        <v>1638</v>
      </c>
      <c r="N63" s="1">
        <v>815</v>
      </c>
      <c r="O63" s="14">
        <v>1462</v>
      </c>
      <c r="P63" s="2"/>
      <c r="Q63" s="1">
        <v>2429</v>
      </c>
      <c r="R63" s="1">
        <v>971</v>
      </c>
      <c r="S63" s="1">
        <v>632</v>
      </c>
      <c r="T63" s="1">
        <v>1733</v>
      </c>
      <c r="U63" s="2"/>
      <c r="V63" s="9">
        <v>1917</v>
      </c>
      <c r="W63" s="9">
        <v>761</v>
      </c>
      <c r="X63" s="9">
        <v>1010</v>
      </c>
      <c r="Y63" s="9">
        <v>2411</v>
      </c>
      <c r="Z63" s="7"/>
    </row>
    <row r="64" spans="2:26">
      <c r="B64" s="1">
        <v>3751</v>
      </c>
      <c r="C64" s="1">
        <v>602</v>
      </c>
      <c r="D64" s="1">
        <v>2083</v>
      </c>
      <c r="E64" s="1">
        <v>3184</v>
      </c>
      <c r="F64" s="2"/>
      <c r="G64" s="1">
        <v>4395</v>
      </c>
      <c r="H64" s="1">
        <v>361</v>
      </c>
      <c r="I64" s="1">
        <v>2416</v>
      </c>
      <c r="J64" s="1">
        <v>1734</v>
      </c>
      <c r="K64" s="2"/>
      <c r="L64" s="1">
        <v>1091</v>
      </c>
      <c r="M64" s="1">
        <v>539</v>
      </c>
      <c r="N64" s="1">
        <v>785</v>
      </c>
      <c r="O64" s="14">
        <v>1732</v>
      </c>
      <c r="P64" s="2"/>
      <c r="Q64" s="1">
        <v>1547</v>
      </c>
      <c r="R64" s="1">
        <v>915</v>
      </c>
      <c r="S64" s="1">
        <v>596</v>
      </c>
      <c r="T64" s="1">
        <v>2013</v>
      </c>
      <c r="U64" s="2"/>
      <c r="V64" s="9">
        <v>1587</v>
      </c>
      <c r="W64" s="9">
        <v>711</v>
      </c>
      <c r="X64" s="9">
        <v>586</v>
      </c>
      <c r="Y64" s="9">
        <v>2156</v>
      </c>
      <c r="Z64" s="7"/>
    </row>
    <row r="65" spans="1:31">
      <c r="B65" s="1">
        <v>5309</v>
      </c>
      <c r="C65" s="1">
        <v>560</v>
      </c>
      <c r="D65" s="1">
        <v>1993</v>
      </c>
      <c r="E65" s="1">
        <v>3110</v>
      </c>
      <c r="F65" s="2"/>
      <c r="G65" s="1">
        <v>3355</v>
      </c>
      <c r="H65" s="1">
        <v>448</v>
      </c>
      <c r="I65" s="1">
        <v>2446</v>
      </c>
      <c r="J65" s="1">
        <v>1895</v>
      </c>
      <c r="K65" s="2"/>
      <c r="L65" s="1">
        <v>3388</v>
      </c>
      <c r="M65" s="1">
        <v>7646</v>
      </c>
      <c r="N65" s="1">
        <v>801</v>
      </c>
      <c r="O65" s="14">
        <v>1767</v>
      </c>
      <c r="P65" s="2"/>
      <c r="Q65" s="1">
        <v>1541</v>
      </c>
      <c r="R65" s="1">
        <v>992</v>
      </c>
      <c r="S65" s="1">
        <v>619</v>
      </c>
      <c r="T65" s="1">
        <v>1823</v>
      </c>
      <c r="U65" s="2"/>
      <c r="V65" s="9">
        <v>1574</v>
      </c>
      <c r="W65" s="9">
        <v>712</v>
      </c>
      <c r="X65" s="9">
        <v>598</v>
      </c>
      <c r="Y65" s="9">
        <v>2783</v>
      </c>
      <c r="Z65" s="7"/>
    </row>
    <row r="66" spans="1:31">
      <c r="B66" s="1">
        <v>6435</v>
      </c>
      <c r="C66" s="1">
        <v>662</v>
      </c>
      <c r="D66" s="1">
        <v>1970</v>
      </c>
      <c r="E66" s="1">
        <v>3483</v>
      </c>
      <c r="F66" s="2"/>
      <c r="G66" s="1">
        <v>2306</v>
      </c>
      <c r="H66" s="1">
        <v>356</v>
      </c>
      <c r="I66" s="1">
        <v>27296</v>
      </c>
      <c r="J66" s="1">
        <v>2508</v>
      </c>
      <c r="K66" s="2"/>
      <c r="L66" s="1">
        <v>2166</v>
      </c>
      <c r="M66" s="1">
        <v>8787</v>
      </c>
      <c r="N66" s="1">
        <v>790</v>
      </c>
      <c r="O66" s="14">
        <v>1911</v>
      </c>
      <c r="P66" s="2"/>
      <c r="Q66" s="1">
        <v>2068</v>
      </c>
      <c r="R66" s="1">
        <v>802</v>
      </c>
      <c r="S66" s="1">
        <v>704</v>
      </c>
      <c r="T66" s="1">
        <v>1474</v>
      </c>
      <c r="U66" s="2"/>
      <c r="V66" s="9">
        <v>1889</v>
      </c>
      <c r="W66" s="9">
        <v>1090</v>
      </c>
      <c r="X66" s="9">
        <v>599</v>
      </c>
      <c r="Y66" s="9">
        <v>1940</v>
      </c>
      <c r="Z66" s="7"/>
    </row>
    <row r="67" spans="1:31">
      <c r="B67" s="1">
        <v>3798</v>
      </c>
      <c r="C67" s="1">
        <v>610</v>
      </c>
      <c r="D67" s="1">
        <v>1959</v>
      </c>
      <c r="E67" s="1">
        <v>3045</v>
      </c>
      <c r="F67" s="2"/>
      <c r="G67" s="1">
        <v>6252</v>
      </c>
      <c r="H67" s="1">
        <v>377</v>
      </c>
      <c r="I67" s="1">
        <v>1089</v>
      </c>
      <c r="J67" s="1">
        <v>2037</v>
      </c>
      <c r="K67" s="2"/>
      <c r="L67" s="1">
        <v>1799</v>
      </c>
      <c r="M67" s="1">
        <v>890</v>
      </c>
      <c r="N67" s="1">
        <v>782</v>
      </c>
      <c r="O67" s="14">
        <v>1823</v>
      </c>
      <c r="P67" s="2"/>
      <c r="Q67" s="1">
        <v>2334</v>
      </c>
      <c r="R67" s="1">
        <v>3303</v>
      </c>
      <c r="S67" s="1">
        <v>630</v>
      </c>
      <c r="T67" s="1">
        <v>1850</v>
      </c>
      <c r="U67" s="2"/>
      <c r="V67" s="9">
        <v>1698</v>
      </c>
      <c r="W67" s="9">
        <v>990</v>
      </c>
      <c r="X67" s="9">
        <v>646</v>
      </c>
      <c r="Y67" s="9">
        <v>3080</v>
      </c>
      <c r="Z67" s="7"/>
    </row>
    <row r="68" spans="1:31">
      <c r="B68" s="1">
        <v>3740</v>
      </c>
      <c r="C68" s="1">
        <v>575</v>
      </c>
      <c r="D68" s="1">
        <v>1999</v>
      </c>
      <c r="E68" s="1">
        <v>2885</v>
      </c>
      <c r="F68" s="2"/>
      <c r="G68" s="1">
        <v>3179</v>
      </c>
      <c r="H68" s="1">
        <v>343</v>
      </c>
      <c r="I68" s="1">
        <v>1006</v>
      </c>
      <c r="J68" s="1">
        <v>1880</v>
      </c>
      <c r="K68" s="2"/>
      <c r="L68" s="1">
        <v>1410</v>
      </c>
      <c r="M68" s="1">
        <v>5552</v>
      </c>
      <c r="N68" s="1">
        <v>787</v>
      </c>
      <c r="O68" s="2">
        <v>1743</v>
      </c>
      <c r="P68" s="2"/>
      <c r="Q68" s="1">
        <v>1668</v>
      </c>
      <c r="R68" s="1">
        <v>1180</v>
      </c>
      <c r="S68" s="1">
        <v>698</v>
      </c>
      <c r="T68" s="1">
        <v>2084</v>
      </c>
      <c r="U68" s="2"/>
      <c r="V68" s="9">
        <v>2209</v>
      </c>
      <c r="W68" s="9">
        <v>926</v>
      </c>
      <c r="X68" s="9">
        <v>601</v>
      </c>
      <c r="Y68" s="9">
        <v>2206</v>
      </c>
      <c r="Z68" s="7"/>
    </row>
    <row r="69" spans="1:31">
      <c r="B69" s="1">
        <v>3791</v>
      </c>
      <c r="C69" s="1">
        <v>550</v>
      </c>
      <c r="D69" s="1">
        <v>2026</v>
      </c>
      <c r="E69" s="1">
        <v>3249</v>
      </c>
      <c r="F69" s="2"/>
      <c r="G69" s="1">
        <v>2159</v>
      </c>
      <c r="H69" s="1">
        <v>420</v>
      </c>
      <c r="I69" s="1">
        <v>1201</v>
      </c>
      <c r="J69" s="1">
        <v>2232</v>
      </c>
      <c r="K69" s="2"/>
      <c r="L69" s="1">
        <v>1305</v>
      </c>
      <c r="M69" s="1">
        <v>13565</v>
      </c>
      <c r="N69" s="1">
        <v>675</v>
      </c>
      <c r="O69" s="14">
        <v>1725</v>
      </c>
      <c r="P69" s="2"/>
      <c r="Q69" s="1">
        <v>1321</v>
      </c>
      <c r="R69" s="1">
        <v>1272</v>
      </c>
      <c r="S69" s="1">
        <v>607</v>
      </c>
      <c r="T69" s="1">
        <v>1777</v>
      </c>
      <c r="U69" s="2"/>
      <c r="V69" s="9">
        <v>1495</v>
      </c>
      <c r="W69" s="9">
        <v>832</v>
      </c>
      <c r="X69" s="9">
        <v>625</v>
      </c>
      <c r="Y69" s="9">
        <v>2316</v>
      </c>
      <c r="Z69" s="7"/>
    </row>
    <row r="70" spans="1:31">
      <c r="B70" s="1">
        <v>3719</v>
      </c>
      <c r="C70" s="1">
        <v>719</v>
      </c>
      <c r="D70" s="1">
        <v>1966</v>
      </c>
      <c r="E70" s="1">
        <v>3023</v>
      </c>
      <c r="F70" s="2"/>
      <c r="G70" s="1">
        <v>2099</v>
      </c>
      <c r="H70" s="1">
        <v>430</v>
      </c>
      <c r="I70" s="1">
        <v>1030</v>
      </c>
      <c r="J70" s="1">
        <v>2531</v>
      </c>
      <c r="K70" s="2"/>
      <c r="L70" s="1">
        <v>1236</v>
      </c>
      <c r="M70" s="1">
        <v>6860</v>
      </c>
      <c r="N70" s="1">
        <v>780</v>
      </c>
      <c r="O70" s="14">
        <v>2011</v>
      </c>
      <c r="P70" s="2"/>
      <c r="Q70" s="1">
        <v>1316</v>
      </c>
      <c r="R70" s="1">
        <v>1822</v>
      </c>
      <c r="S70" s="1">
        <v>760</v>
      </c>
      <c r="T70" s="1">
        <v>1752</v>
      </c>
      <c r="U70" s="2"/>
      <c r="V70" s="9">
        <v>1615</v>
      </c>
      <c r="W70" s="9">
        <v>743</v>
      </c>
      <c r="X70" s="9">
        <v>612</v>
      </c>
      <c r="Y70" s="9">
        <v>1657</v>
      </c>
      <c r="Z70" s="7"/>
    </row>
    <row r="71" spans="1:31">
      <c r="B71" s="23">
        <v>3746</v>
      </c>
      <c r="C71" s="23">
        <v>583</v>
      </c>
      <c r="D71" s="23">
        <v>2033</v>
      </c>
      <c r="E71" s="23">
        <v>2964</v>
      </c>
      <c r="F71" s="2"/>
      <c r="G71" s="23">
        <v>2022</v>
      </c>
      <c r="H71" s="23">
        <v>345</v>
      </c>
      <c r="I71" s="23">
        <v>1047</v>
      </c>
      <c r="J71" s="23">
        <v>2619</v>
      </c>
      <c r="K71" s="2"/>
      <c r="L71" s="23">
        <v>2397</v>
      </c>
      <c r="M71" s="23">
        <v>1959</v>
      </c>
      <c r="N71" s="23">
        <v>805</v>
      </c>
      <c r="O71" s="24">
        <v>1475</v>
      </c>
      <c r="P71" s="2"/>
      <c r="Q71" s="23">
        <v>1294</v>
      </c>
      <c r="R71" s="23">
        <v>708</v>
      </c>
      <c r="S71" s="23">
        <v>761</v>
      </c>
      <c r="T71" s="23">
        <v>1384</v>
      </c>
      <c r="U71" s="2"/>
      <c r="V71" s="9">
        <v>1557</v>
      </c>
      <c r="W71" s="9">
        <v>965</v>
      </c>
      <c r="X71" s="9">
        <v>659</v>
      </c>
      <c r="Y71" s="9">
        <v>1587</v>
      </c>
      <c r="Z71" s="7"/>
    </row>
    <row r="72" spans="1:31">
      <c r="A72" s="6" t="s">
        <v>10</v>
      </c>
      <c r="B72" s="22">
        <f>AVERAGE(B42:B71)</f>
        <v>4236.0333333333338</v>
      </c>
      <c r="C72" s="22">
        <f>AVERAGE(C42:C71)</f>
        <v>680.56666666666672</v>
      </c>
      <c r="D72" s="22">
        <v>1907</v>
      </c>
      <c r="E72" s="22">
        <f t="shared" ref="D72:E72" si="4">AVERAGE(E42:E71)</f>
        <v>3094.3</v>
      </c>
      <c r="F72" s="2"/>
      <c r="G72" s="22">
        <f>AVERAGE(G42:G71)</f>
        <v>2920.7666666666669</v>
      </c>
      <c r="H72" s="22">
        <f t="shared" ref="H72:J72" si="5">AVERAGE(H42:H71)</f>
        <v>459.5</v>
      </c>
      <c r="I72" s="22">
        <v>1078</v>
      </c>
      <c r="J72" s="22">
        <f t="shared" si="5"/>
        <v>2271.0666666666666</v>
      </c>
      <c r="K72" s="2"/>
      <c r="L72" s="22">
        <f>AVERAGE(L42:L71)</f>
        <v>1913.5</v>
      </c>
      <c r="M72" s="22">
        <f t="shared" ref="M72:N72" si="6">AVERAGE(M42:M71)</f>
        <v>3501.5</v>
      </c>
      <c r="N72" s="22">
        <v>674</v>
      </c>
      <c r="O72" s="22">
        <f>AVERAGE(O42:O71)</f>
        <v>1904.2333333333333</v>
      </c>
      <c r="P72" s="2"/>
      <c r="Q72" s="22">
        <f>AVERAGE(Q42:Q71)</f>
        <v>1657.4666666666667</v>
      </c>
      <c r="R72" s="22">
        <f>AVERAGE(R42:R71)</f>
        <v>963.13333333333333</v>
      </c>
      <c r="S72" s="22">
        <v>707</v>
      </c>
      <c r="T72" s="22">
        <f>AVERAGE(T42:T71)</f>
        <v>1791.6666666666667</v>
      </c>
      <c r="U72" s="2"/>
      <c r="V72" s="11">
        <f>AVERAGE(V42:V71)</f>
        <v>1717.2666666666667</v>
      </c>
      <c r="W72" s="11">
        <f t="shared" ref="W72:Y72" si="7">AVERAGE(W42:W71)</f>
        <v>692.76666666666665</v>
      </c>
      <c r="X72" s="11">
        <f t="shared" si="7"/>
        <v>713.4</v>
      </c>
      <c r="Y72" s="11">
        <f t="shared" si="7"/>
        <v>2043.3666666666666</v>
      </c>
      <c r="Z72" s="7"/>
    </row>
    <row r="73" spans="1:3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7"/>
      <c r="W73" s="7"/>
      <c r="X73" s="7"/>
      <c r="Y73" s="7"/>
      <c r="Z73" s="7"/>
    </row>
    <row r="74" spans="1:31" ht="15.75" thickBot="1">
      <c r="V74" s="7"/>
      <c r="W74" s="7"/>
      <c r="X74" s="7"/>
      <c r="Y74" s="7"/>
      <c r="Z74" s="7"/>
    </row>
    <row r="75" spans="1:31" s="7" customFormat="1" ht="16.5" customHeight="1" thickBot="1">
      <c r="B75" s="66" t="s">
        <v>38</v>
      </c>
      <c r="C75" s="67"/>
      <c r="D75" s="67"/>
      <c r="E75" s="68"/>
      <c r="G75" s="66" t="s">
        <v>38</v>
      </c>
      <c r="H75" s="67"/>
      <c r="I75" s="67"/>
      <c r="J75" s="68"/>
      <c r="L75" s="66" t="s">
        <v>38</v>
      </c>
      <c r="M75" s="67"/>
      <c r="N75" s="67"/>
      <c r="O75" s="68"/>
      <c r="Q75" s="66" t="s">
        <v>38</v>
      </c>
      <c r="R75" s="67"/>
      <c r="S75" s="67"/>
      <c r="T75" s="68"/>
      <c r="V75" s="66" t="s">
        <v>38</v>
      </c>
      <c r="W75" s="67"/>
      <c r="X75" s="67"/>
      <c r="Y75" s="68"/>
      <c r="AA75" s="20"/>
      <c r="AB75" s="20"/>
      <c r="AC75" s="20"/>
      <c r="AD75" s="20"/>
      <c r="AE75" s="20"/>
    </row>
    <row r="76" spans="1:31" s="7" customFormat="1" ht="13.5" customHeight="1" thickBot="1">
      <c r="B76" s="63" t="s">
        <v>16</v>
      </c>
      <c r="C76" s="64"/>
      <c r="D76" s="64"/>
      <c r="E76" s="65"/>
      <c r="G76" s="59" t="s">
        <v>17</v>
      </c>
      <c r="H76" s="59"/>
      <c r="I76" s="59"/>
      <c r="J76" s="59"/>
      <c r="L76" s="59" t="s">
        <v>18</v>
      </c>
      <c r="M76" s="59"/>
      <c r="N76" s="59"/>
      <c r="O76" s="59"/>
      <c r="Q76" s="59" t="s">
        <v>19</v>
      </c>
      <c r="R76" s="59"/>
      <c r="S76" s="59"/>
      <c r="T76" s="59"/>
      <c r="V76" s="59" t="s">
        <v>20</v>
      </c>
      <c r="W76" s="59"/>
      <c r="X76" s="59"/>
      <c r="Y76" s="59"/>
      <c r="AA76" s="21"/>
      <c r="AB76" s="21"/>
      <c r="AC76" s="21"/>
      <c r="AD76" s="21"/>
      <c r="AE76" s="21"/>
    </row>
    <row r="77" spans="1:31" s="7" customFormat="1" ht="45.75" thickBot="1">
      <c r="B77" s="28" t="s">
        <v>6</v>
      </c>
      <c r="C77" s="44" t="s">
        <v>7</v>
      </c>
      <c r="D77" s="43" t="s">
        <v>8</v>
      </c>
      <c r="E77" s="43" t="s">
        <v>9</v>
      </c>
      <c r="G77" s="28" t="s">
        <v>6</v>
      </c>
      <c r="H77" s="44" t="s">
        <v>7</v>
      </c>
      <c r="I77" s="43" t="s">
        <v>8</v>
      </c>
      <c r="J77" s="43" t="s">
        <v>9</v>
      </c>
      <c r="L77" s="28" t="s">
        <v>6</v>
      </c>
      <c r="M77" s="44" t="s">
        <v>7</v>
      </c>
      <c r="N77" s="43" t="s">
        <v>8</v>
      </c>
      <c r="O77" s="43" t="s">
        <v>9</v>
      </c>
      <c r="Q77" s="28" t="s">
        <v>6</v>
      </c>
      <c r="R77" s="44" t="s">
        <v>7</v>
      </c>
      <c r="S77" s="43" t="s">
        <v>8</v>
      </c>
      <c r="T77" s="43" t="s">
        <v>9</v>
      </c>
      <c r="V77" s="28" t="s">
        <v>6</v>
      </c>
      <c r="W77" s="44" t="s">
        <v>7</v>
      </c>
      <c r="X77" s="43" t="s">
        <v>8</v>
      </c>
      <c r="Y77" s="43" t="s">
        <v>9</v>
      </c>
    </row>
    <row r="78" spans="1:31">
      <c r="B78" s="1">
        <v>478013</v>
      </c>
      <c r="C78" s="1">
        <v>118663</v>
      </c>
      <c r="D78" s="1">
        <v>236268</v>
      </c>
      <c r="E78" s="1">
        <v>525766</v>
      </c>
      <c r="F78" s="2"/>
      <c r="G78" s="1">
        <v>268586</v>
      </c>
      <c r="H78" s="1">
        <v>113065</v>
      </c>
      <c r="I78" s="1">
        <v>119211</v>
      </c>
      <c r="J78" s="1">
        <v>307605</v>
      </c>
      <c r="K78" s="2"/>
      <c r="L78" s="1">
        <v>6964609</v>
      </c>
      <c r="M78" s="1">
        <v>95601</v>
      </c>
      <c r="N78" s="1">
        <v>82501</v>
      </c>
      <c r="O78" s="14">
        <v>165695</v>
      </c>
      <c r="P78" s="2"/>
      <c r="Q78" s="1">
        <v>7151184</v>
      </c>
      <c r="R78" s="1">
        <v>170656</v>
      </c>
      <c r="S78" s="1">
        <v>48179</v>
      </c>
      <c r="T78" s="1">
        <v>141806</v>
      </c>
      <c r="U78" s="2"/>
      <c r="V78" s="9">
        <v>6599932</v>
      </c>
      <c r="W78" s="9">
        <v>122661</v>
      </c>
      <c r="X78" s="9">
        <v>39959</v>
      </c>
      <c r="Y78" s="9">
        <v>81097</v>
      </c>
      <c r="Z78" s="7"/>
    </row>
    <row r="79" spans="1:31">
      <c r="B79" s="1">
        <v>496169</v>
      </c>
      <c r="C79" s="1">
        <v>109103</v>
      </c>
      <c r="D79" s="1">
        <v>236615</v>
      </c>
      <c r="E79" s="1">
        <v>584568</v>
      </c>
      <c r="F79" s="2"/>
      <c r="G79" s="1">
        <v>249357</v>
      </c>
      <c r="H79" s="1">
        <v>99602</v>
      </c>
      <c r="I79" s="1">
        <v>119830</v>
      </c>
      <c r="J79" s="1">
        <v>335648</v>
      </c>
      <c r="K79" s="2"/>
      <c r="L79" s="1">
        <v>130461</v>
      </c>
      <c r="M79" s="1">
        <v>165847</v>
      </c>
      <c r="N79" s="1">
        <v>81749</v>
      </c>
      <c r="O79" s="14">
        <v>170189</v>
      </c>
      <c r="P79" s="2"/>
      <c r="Q79" s="1">
        <v>128983</v>
      </c>
      <c r="R79" s="1">
        <v>98629</v>
      </c>
      <c r="S79" s="1">
        <v>48187</v>
      </c>
      <c r="T79" s="1">
        <v>112976</v>
      </c>
      <c r="U79" s="2"/>
      <c r="V79" s="9">
        <v>123867</v>
      </c>
      <c r="W79" s="9">
        <v>139899</v>
      </c>
      <c r="X79" s="9">
        <v>42198</v>
      </c>
      <c r="Y79" s="9">
        <v>87765</v>
      </c>
      <c r="Z79" s="7"/>
    </row>
    <row r="80" spans="1:31">
      <c r="B80" s="1">
        <v>485555</v>
      </c>
      <c r="C80" s="1">
        <v>110300</v>
      </c>
      <c r="D80" s="1">
        <v>230445</v>
      </c>
      <c r="E80" s="1">
        <v>530780</v>
      </c>
      <c r="F80" s="2"/>
      <c r="G80" s="1">
        <v>248978</v>
      </c>
      <c r="H80" s="1">
        <v>152260</v>
      </c>
      <c r="I80" s="1">
        <v>116263</v>
      </c>
      <c r="J80" s="1">
        <v>331681</v>
      </c>
      <c r="K80" s="2"/>
      <c r="L80" s="1">
        <v>124403</v>
      </c>
      <c r="M80" s="1">
        <v>109916</v>
      </c>
      <c r="N80" s="1">
        <v>90695</v>
      </c>
      <c r="O80" s="14">
        <v>172747</v>
      </c>
      <c r="P80" s="2"/>
      <c r="Q80" s="1">
        <v>153778</v>
      </c>
      <c r="R80" s="1">
        <v>101089</v>
      </c>
      <c r="S80" s="1">
        <v>46931</v>
      </c>
      <c r="T80" s="1">
        <v>111524</v>
      </c>
      <c r="U80" s="2"/>
      <c r="V80" s="9">
        <v>128904</v>
      </c>
      <c r="W80" s="9">
        <v>95449</v>
      </c>
      <c r="X80" s="9">
        <v>38524</v>
      </c>
      <c r="Y80" s="9">
        <v>88451</v>
      </c>
      <c r="Z80" s="7"/>
    </row>
    <row r="81" spans="2:26">
      <c r="B81" s="1">
        <v>477279</v>
      </c>
      <c r="C81" s="1">
        <v>119608</v>
      </c>
      <c r="D81" s="1">
        <v>239676</v>
      </c>
      <c r="E81" s="1">
        <v>532769</v>
      </c>
      <c r="F81" s="2"/>
      <c r="G81" s="1">
        <v>286108</v>
      </c>
      <c r="H81" s="1">
        <v>96995</v>
      </c>
      <c r="I81" s="1">
        <v>128238</v>
      </c>
      <c r="J81" s="1">
        <v>362906</v>
      </c>
      <c r="K81" s="2"/>
      <c r="L81" s="1">
        <v>144485</v>
      </c>
      <c r="M81" s="1">
        <v>167859</v>
      </c>
      <c r="N81" s="1">
        <v>78832</v>
      </c>
      <c r="O81" s="14">
        <v>158688</v>
      </c>
      <c r="P81" s="2"/>
      <c r="Q81" s="1">
        <v>133405</v>
      </c>
      <c r="R81" s="1">
        <v>102726</v>
      </c>
      <c r="S81" s="1">
        <v>42618</v>
      </c>
      <c r="T81" s="1">
        <v>108681</v>
      </c>
      <c r="U81" s="2"/>
      <c r="V81" s="9">
        <v>130235</v>
      </c>
      <c r="W81" s="9">
        <v>96696</v>
      </c>
      <c r="X81" s="9">
        <v>46943</v>
      </c>
      <c r="Y81" s="9">
        <v>83985</v>
      </c>
      <c r="Z81" s="7"/>
    </row>
    <row r="82" spans="2:26">
      <c r="B82" s="1">
        <v>481344</v>
      </c>
      <c r="C82" s="1">
        <v>123493</v>
      </c>
      <c r="D82" s="1">
        <v>237233</v>
      </c>
      <c r="E82" s="1">
        <v>525875</v>
      </c>
      <c r="F82" s="2"/>
      <c r="G82" s="1">
        <v>243144</v>
      </c>
      <c r="H82" s="1">
        <v>174855</v>
      </c>
      <c r="I82" s="1">
        <v>119024</v>
      </c>
      <c r="J82" s="1">
        <v>302785</v>
      </c>
      <c r="K82" s="2"/>
      <c r="L82" s="1">
        <v>132179</v>
      </c>
      <c r="M82" s="1">
        <v>94305</v>
      </c>
      <c r="N82" s="1">
        <v>73907</v>
      </c>
      <c r="O82" s="14">
        <v>178423</v>
      </c>
      <c r="P82" s="2"/>
      <c r="Q82" s="1">
        <v>122330</v>
      </c>
      <c r="R82" s="1">
        <v>103069</v>
      </c>
      <c r="S82" s="1">
        <v>46657</v>
      </c>
      <c r="T82" s="1">
        <v>107951</v>
      </c>
      <c r="U82" s="2"/>
      <c r="V82" s="9">
        <v>126888</v>
      </c>
      <c r="W82" s="9">
        <v>178390</v>
      </c>
      <c r="X82" s="9">
        <v>40537</v>
      </c>
      <c r="Y82" s="9">
        <v>82870</v>
      </c>
      <c r="Z82" s="7"/>
    </row>
    <row r="83" spans="2:26">
      <c r="B83" s="1">
        <v>479966</v>
      </c>
      <c r="C83" s="1">
        <v>119615</v>
      </c>
      <c r="D83" s="1">
        <v>229627</v>
      </c>
      <c r="E83" s="1">
        <v>545063</v>
      </c>
      <c r="F83" s="2"/>
      <c r="G83" s="1">
        <v>247703</v>
      </c>
      <c r="H83" s="1">
        <v>100867</v>
      </c>
      <c r="I83" s="1">
        <v>119729</v>
      </c>
      <c r="J83" s="1">
        <v>321037</v>
      </c>
      <c r="K83" s="2"/>
      <c r="L83" s="1">
        <v>136659</v>
      </c>
      <c r="M83" s="1">
        <v>177930</v>
      </c>
      <c r="N83" s="1">
        <v>73400</v>
      </c>
      <c r="O83" s="14">
        <v>210137</v>
      </c>
      <c r="P83" s="2"/>
      <c r="Q83" s="1">
        <v>124368</v>
      </c>
      <c r="R83" s="1">
        <v>111198</v>
      </c>
      <c r="S83" s="1">
        <v>49095</v>
      </c>
      <c r="T83" s="1">
        <v>137940</v>
      </c>
      <c r="U83" s="2"/>
      <c r="V83" s="9">
        <v>129834</v>
      </c>
      <c r="W83" s="9">
        <v>97020</v>
      </c>
      <c r="X83" s="9">
        <v>41273</v>
      </c>
      <c r="Y83" s="9">
        <v>82152</v>
      </c>
      <c r="Z83" s="7"/>
    </row>
    <row r="84" spans="2:26">
      <c r="B84" s="1">
        <v>476569</v>
      </c>
      <c r="C84" s="1">
        <v>117408</v>
      </c>
      <c r="D84" s="1">
        <v>227436</v>
      </c>
      <c r="E84" s="1">
        <v>517877</v>
      </c>
      <c r="F84" s="2"/>
      <c r="G84" s="1">
        <v>243508</v>
      </c>
      <c r="H84" s="1">
        <v>105934</v>
      </c>
      <c r="I84" s="1">
        <v>119876</v>
      </c>
      <c r="J84" s="1">
        <v>315357</v>
      </c>
      <c r="K84" s="2"/>
      <c r="L84" s="1">
        <v>125712</v>
      </c>
      <c r="M84" s="1">
        <v>179898</v>
      </c>
      <c r="N84" s="1">
        <v>79006</v>
      </c>
      <c r="O84" s="14">
        <v>175830</v>
      </c>
      <c r="P84" s="2"/>
      <c r="Q84" s="1">
        <v>122099</v>
      </c>
      <c r="R84" s="1">
        <v>103973</v>
      </c>
      <c r="S84" s="1">
        <v>47605</v>
      </c>
      <c r="T84" s="1">
        <v>126650</v>
      </c>
      <c r="U84" s="2"/>
      <c r="V84" s="9">
        <v>127053</v>
      </c>
      <c r="W84" s="9">
        <v>123365</v>
      </c>
      <c r="X84" s="9">
        <v>62597</v>
      </c>
      <c r="Y84" s="9">
        <v>84199</v>
      </c>
      <c r="Z84" s="7"/>
    </row>
    <row r="85" spans="2:26">
      <c r="B85" s="1">
        <v>486282</v>
      </c>
      <c r="C85" s="1">
        <v>108513</v>
      </c>
      <c r="D85" s="1">
        <v>231874</v>
      </c>
      <c r="E85" s="1">
        <v>540683</v>
      </c>
      <c r="F85" s="2"/>
      <c r="G85" s="1">
        <v>271128</v>
      </c>
      <c r="H85" s="1">
        <v>101981</v>
      </c>
      <c r="I85" s="1">
        <v>116684</v>
      </c>
      <c r="J85" s="1">
        <v>346025</v>
      </c>
      <c r="K85" s="2"/>
      <c r="L85" s="1">
        <v>124355</v>
      </c>
      <c r="M85" s="1">
        <v>105888</v>
      </c>
      <c r="N85" s="1">
        <v>79779</v>
      </c>
      <c r="O85" s="14">
        <v>194964</v>
      </c>
      <c r="P85" s="2"/>
      <c r="Q85" s="1">
        <v>130150</v>
      </c>
      <c r="R85" s="1">
        <v>80807</v>
      </c>
      <c r="S85" s="1">
        <v>46719</v>
      </c>
      <c r="T85" s="1">
        <v>113769</v>
      </c>
      <c r="U85" s="2"/>
      <c r="V85" s="9">
        <v>126842</v>
      </c>
      <c r="W85" s="9">
        <v>94742</v>
      </c>
      <c r="X85" s="9">
        <v>44687</v>
      </c>
      <c r="Y85" s="9">
        <v>82423</v>
      </c>
      <c r="Z85" s="7"/>
    </row>
    <row r="86" spans="2:26">
      <c r="B86" s="1">
        <v>482659</v>
      </c>
      <c r="C86" s="1">
        <v>115815</v>
      </c>
      <c r="D86" s="1">
        <v>238603</v>
      </c>
      <c r="E86" s="1">
        <v>518313</v>
      </c>
      <c r="F86" s="2"/>
      <c r="G86" s="1">
        <v>257717</v>
      </c>
      <c r="H86" s="1">
        <v>108973</v>
      </c>
      <c r="I86" s="1">
        <v>130106</v>
      </c>
      <c r="J86" s="1">
        <v>316835</v>
      </c>
      <c r="K86" s="2"/>
      <c r="L86" s="1">
        <v>134850</v>
      </c>
      <c r="M86" s="1">
        <v>96689</v>
      </c>
      <c r="N86" s="1">
        <v>74980</v>
      </c>
      <c r="O86" s="14">
        <v>177230</v>
      </c>
      <c r="P86" s="2"/>
      <c r="Q86" s="1">
        <v>123498</v>
      </c>
      <c r="R86" s="1">
        <v>103063</v>
      </c>
      <c r="S86" s="1">
        <v>47951</v>
      </c>
      <c r="T86" s="1">
        <v>113865</v>
      </c>
      <c r="U86" s="2"/>
      <c r="V86" s="9">
        <v>124137</v>
      </c>
      <c r="W86" s="9">
        <v>99877</v>
      </c>
      <c r="X86" s="9">
        <v>41602</v>
      </c>
      <c r="Y86" s="9">
        <v>84806</v>
      </c>
      <c r="Z86" s="7"/>
    </row>
    <row r="87" spans="2:26">
      <c r="B87" s="1">
        <v>485877</v>
      </c>
      <c r="C87" s="1">
        <v>110177</v>
      </c>
      <c r="D87" s="1">
        <v>253195</v>
      </c>
      <c r="E87" s="1">
        <v>587189</v>
      </c>
      <c r="F87" s="2"/>
      <c r="G87" s="1">
        <v>247609</v>
      </c>
      <c r="H87" s="1">
        <v>99276</v>
      </c>
      <c r="I87" s="1">
        <v>119046</v>
      </c>
      <c r="J87" s="1">
        <v>270512</v>
      </c>
      <c r="K87" s="2"/>
      <c r="L87" s="1">
        <v>134262</v>
      </c>
      <c r="M87" s="1">
        <v>105126</v>
      </c>
      <c r="N87" s="1">
        <v>84382</v>
      </c>
      <c r="O87" s="14">
        <v>190000</v>
      </c>
      <c r="P87" s="2"/>
      <c r="Q87" s="1">
        <v>131645</v>
      </c>
      <c r="R87" s="1">
        <v>91306</v>
      </c>
      <c r="S87" s="1">
        <v>47055</v>
      </c>
      <c r="T87" s="1">
        <v>112664</v>
      </c>
      <c r="U87" s="2"/>
      <c r="V87" s="9">
        <v>129394</v>
      </c>
      <c r="W87" s="9">
        <v>161585</v>
      </c>
      <c r="X87" s="9">
        <v>47189</v>
      </c>
      <c r="Y87" s="9">
        <v>81887</v>
      </c>
      <c r="Z87" s="7"/>
    </row>
    <row r="88" spans="2:26">
      <c r="B88" s="1">
        <v>490819</v>
      </c>
      <c r="C88" s="1">
        <v>109236</v>
      </c>
      <c r="D88" s="1">
        <v>246720</v>
      </c>
      <c r="E88" s="1">
        <v>571315</v>
      </c>
      <c r="F88" s="2"/>
      <c r="G88" s="1">
        <v>243145</v>
      </c>
      <c r="H88" s="1">
        <v>98548</v>
      </c>
      <c r="I88" s="1">
        <v>128281</v>
      </c>
      <c r="J88" s="1">
        <v>267257</v>
      </c>
      <c r="K88" s="2"/>
      <c r="L88" s="1">
        <v>130767</v>
      </c>
      <c r="M88" s="1">
        <v>178623</v>
      </c>
      <c r="N88" s="1">
        <v>84150</v>
      </c>
      <c r="O88" s="14">
        <v>151538</v>
      </c>
      <c r="P88" s="2"/>
      <c r="Q88" s="1">
        <v>130218</v>
      </c>
      <c r="R88" s="1">
        <v>104508</v>
      </c>
      <c r="S88" s="1">
        <v>47514</v>
      </c>
      <c r="T88" s="1">
        <v>94313</v>
      </c>
      <c r="U88" s="2"/>
      <c r="V88" s="9">
        <v>127194</v>
      </c>
      <c r="W88" s="9">
        <v>87582</v>
      </c>
      <c r="X88" s="9">
        <v>41763</v>
      </c>
      <c r="Y88" s="9">
        <v>79152</v>
      </c>
      <c r="Z88" s="7"/>
    </row>
    <row r="89" spans="2:26">
      <c r="B89" s="1">
        <v>476984</v>
      </c>
      <c r="C89" s="1">
        <v>111202</v>
      </c>
      <c r="D89" s="1">
        <v>244722</v>
      </c>
      <c r="E89" s="1">
        <v>792509</v>
      </c>
      <c r="F89" s="2"/>
      <c r="G89" s="1">
        <v>247773</v>
      </c>
      <c r="H89" s="1">
        <v>105269</v>
      </c>
      <c r="I89" s="1">
        <v>125208</v>
      </c>
      <c r="J89" s="1">
        <v>336928</v>
      </c>
      <c r="K89" s="2"/>
      <c r="L89" s="1">
        <v>131861</v>
      </c>
      <c r="M89" s="1">
        <v>95784</v>
      </c>
      <c r="N89" s="1">
        <v>78941</v>
      </c>
      <c r="O89" s="14">
        <v>183896</v>
      </c>
      <c r="P89" s="2"/>
      <c r="Q89" s="1">
        <v>127660</v>
      </c>
      <c r="R89" s="1">
        <v>96638</v>
      </c>
      <c r="S89" s="1">
        <v>48476</v>
      </c>
      <c r="T89" s="1">
        <v>91545</v>
      </c>
      <c r="U89" s="2"/>
      <c r="V89" s="9">
        <v>125515</v>
      </c>
      <c r="W89" s="9">
        <v>103911</v>
      </c>
      <c r="X89" s="9">
        <v>42443</v>
      </c>
      <c r="Y89" s="9">
        <v>89646</v>
      </c>
      <c r="Z89" s="7"/>
    </row>
    <row r="90" spans="2:26">
      <c r="B90" s="1">
        <v>493780</v>
      </c>
      <c r="C90" s="1">
        <v>116942</v>
      </c>
      <c r="D90" s="1">
        <v>233111</v>
      </c>
      <c r="E90" s="1">
        <v>529676</v>
      </c>
      <c r="F90" s="2"/>
      <c r="G90" s="1">
        <v>285020</v>
      </c>
      <c r="H90" s="1">
        <v>102251</v>
      </c>
      <c r="I90" s="1">
        <v>119066</v>
      </c>
      <c r="J90" s="1">
        <v>276238</v>
      </c>
      <c r="K90" s="2"/>
      <c r="L90" s="1">
        <v>138317</v>
      </c>
      <c r="M90" s="1">
        <v>176485</v>
      </c>
      <c r="N90" s="1">
        <v>72839</v>
      </c>
      <c r="O90" s="14">
        <v>171681</v>
      </c>
      <c r="P90" s="2"/>
      <c r="Q90" s="1">
        <v>123939</v>
      </c>
      <c r="R90" s="1">
        <v>116489</v>
      </c>
      <c r="S90" s="1">
        <v>47755</v>
      </c>
      <c r="T90" s="1">
        <v>98874</v>
      </c>
      <c r="U90" s="2"/>
      <c r="V90" s="9">
        <v>127034</v>
      </c>
      <c r="W90" s="9">
        <v>171765</v>
      </c>
      <c r="X90" s="9">
        <v>41036</v>
      </c>
      <c r="Y90" s="9">
        <v>82388</v>
      </c>
      <c r="Z90" s="7"/>
    </row>
    <row r="91" spans="2:26">
      <c r="B91" s="1">
        <v>479217</v>
      </c>
      <c r="C91" s="1">
        <v>129701</v>
      </c>
      <c r="D91" s="1">
        <v>244184</v>
      </c>
      <c r="E91" s="1">
        <v>606230</v>
      </c>
      <c r="F91" s="2"/>
      <c r="G91" s="1">
        <v>276137</v>
      </c>
      <c r="H91" s="1">
        <v>98521</v>
      </c>
      <c r="I91" s="1">
        <v>117803</v>
      </c>
      <c r="J91" s="1">
        <v>312800</v>
      </c>
      <c r="K91" s="2"/>
      <c r="L91" s="1">
        <v>142570</v>
      </c>
      <c r="M91" s="1">
        <v>95468</v>
      </c>
      <c r="N91" s="1">
        <v>76411</v>
      </c>
      <c r="O91" s="14">
        <v>175875</v>
      </c>
      <c r="P91" s="2"/>
      <c r="Q91" s="1">
        <v>130369</v>
      </c>
      <c r="R91" s="1">
        <v>132142</v>
      </c>
      <c r="S91" s="1">
        <v>47406</v>
      </c>
      <c r="T91" s="1">
        <v>102116</v>
      </c>
      <c r="U91" s="2"/>
      <c r="V91" s="9">
        <v>132235</v>
      </c>
      <c r="W91" s="9">
        <v>113743</v>
      </c>
      <c r="X91" s="9">
        <v>42405</v>
      </c>
      <c r="Y91" s="9">
        <v>82124</v>
      </c>
      <c r="Z91" s="7"/>
    </row>
    <row r="92" spans="2:26">
      <c r="B92" s="1">
        <v>473464</v>
      </c>
      <c r="C92" s="1">
        <v>113236</v>
      </c>
      <c r="D92" s="1">
        <v>235223</v>
      </c>
      <c r="E92" s="1">
        <v>706942</v>
      </c>
      <c r="F92" s="2"/>
      <c r="G92" s="1">
        <v>265567</v>
      </c>
      <c r="H92" s="1">
        <v>103770</v>
      </c>
      <c r="I92" s="1">
        <v>122327</v>
      </c>
      <c r="J92" s="1">
        <v>286509</v>
      </c>
      <c r="K92" s="2"/>
      <c r="L92" s="1">
        <v>136159</v>
      </c>
      <c r="M92" s="1">
        <v>183486</v>
      </c>
      <c r="N92" s="1">
        <v>74816</v>
      </c>
      <c r="O92" s="14">
        <v>185023</v>
      </c>
      <c r="P92" s="2"/>
      <c r="Q92" s="1">
        <v>127617</v>
      </c>
      <c r="R92" s="1">
        <v>118622</v>
      </c>
      <c r="S92" s="1">
        <v>48649</v>
      </c>
      <c r="T92" s="1">
        <v>117369</v>
      </c>
      <c r="U92" s="2"/>
      <c r="V92" s="9">
        <v>124482</v>
      </c>
      <c r="W92" s="9">
        <v>173627</v>
      </c>
      <c r="X92" s="9">
        <v>40036</v>
      </c>
      <c r="Y92" s="9">
        <v>81787</v>
      </c>
      <c r="Z92" s="7"/>
    </row>
    <row r="93" spans="2:26">
      <c r="B93" s="1">
        <v>479966</v>
      </c>
      <c r="C93" s="1">
        <v>111042</v>
      </c>
      <c r="D93" s="1">
        <v>240061</v>
      </c>
      <c r="E93" s="1">
        <v>643776</v>
      </c>
      <c r="F93" s="2"/>
      <c r="G93" s="1">
        <v>254191</v>
      </c>
      <c r="H93" s="1">
        <v>104685</v>
      </c>
      <c r="I93" s="1">
        <v>121935</v>
      </c>
      <c r="J93" s="1">
        <v>311799</v>
      </c>
      <c r="K93" s="2"/>
      <c r="L93" s="1">
        <v>128269</v>
      </c>
      <c r="M93" s="1">
        <v>98775</v>
      </c>
      <c r="N93" s="1">
        <v>71969</v>
      </c>
      <c r="O93" s="14">
        <v>172911</v>
      </c>
      <c r="P93" s="2"/>
      <c r="Q93" s="1">
        <v>121455</v>
      </c>
      <c r="R93" s="1">
        <v>93819</v>
      </c>
      <c r="S93" s="1">
        <v>66684</v>
      </c>
      <c r="T93" s="1">
        <v>117690</v>
      </c>
      <c r="U93" s="2"/>
      <c r="V93" s="9">
        <v>123176</v>
      </c>
      <c r="W93" s="9">
        <v>63447</v>
      </c>
      <c r="X93" s="9">
        <v>39736</v>
      </c>
      <c r="Y93" s="9">
        <v>81369</v>
      </c>
      <c r="Z93" s="7"/>
    </row>
    <row r="94" spans="2:26">
      <c r="B94" s="1">
        <v>488370</v>
      </c>
      <c r="C94" s="1">
        <v>112305</v>
      </c>
      <c r="D94" s="1">
        <v>262646</v>
      </c>
      <c r="E94" s="1">
        <v>627171</v>
      </c>
      <c r="F94" s="2"/>
      <c r="G94" s="1">
        <v>247280</v>
      </c>
      <c r="H94" s="1">
        <v>112384</v>
      </c>
      <c r="I94" s="1">
        <v>123551</v>
      </c>
      <c r="J94" s="1">
        <v>289501</v>
      </c>
      <c r="K94" s="2"/>
      <c r="L94" s="1">
        <v>124634</v>
      </c>
      <c r="M94" s="1">
        <v>173476</v>
      </c>
      <c r="N94" s="1">
        <v>80714</v>
      </c>
      <c r="O94" s="14">
        <v>172323</v>
      </c>
      <c r="P94" s="2"/>
      <c r="Q94" s="1">
        <v>137296</v>
      </c>
      <c r="R94" s="1">
        <v>110092</v>
      </c>
      <c r="S94" s="1">
        <v>49616</v>
      </c>
      <c r="T94" s="1">
        <v>103586</v>
      </c>
      <c r="U94" s="2"/>
      <c r="V94" s="9">
        <v>122684</v>
      </c>
      <c r="W94" s="9">
        <v>110525</v>
      </c>
      <c r="X94" s="9">
        <v>39341</v>
      </c>
      <c r="Y94" s="9">
        <v>85741</v>
      </c>
      <c r="Z94" s="7"/>
    </row>
    <row r="95" spans="2:26">
      <c r="B95" s="1">
        <v>478776</v>
      </c>
      <c r="C95" s="1">
        <v>115538</v>
      </c>
      <c r="D95" s="1">
        <v>260472</v>
      </c>
      <c r="E95" s="1">
        <v>596583</v>
      </c>
      <c r="F95" s="2"/>
      <c r="G95" s="1">
        <v>253033</v>
      </c>
      <c r="H95" s="1">
        <v>105018</v>
      </c>
      <c r="I95" s="1">
        <v>120084</v>
      </c>
      <c r="J95" s="1">
        <v>263077</v>
      </c>
      <c r="K95" s="2"/>
      <c r="L95" s="1">
        <v>127231</v>
      </c>
      <c r="M95" s="1">
        <v>110054</v>
      </c>
      <c r="N95" s="1">
        <v>83928</v>
      </c>
      <c r="O95" s="14">
        <v>164971</v>
      </c>
      <c r="P95" s="2"/>
      <c r="Q95" s="1">
        <v>135515</v>
      </c>
      <c r="R95" s="1">
        <v>165002</v>
      </c>
      <c r="S95" s="1">
        <v>47863</v>
      </c>
      <c r="T95" s="1">
        <v>98453</v>
      </c>
      <c r="U95" s="2"/>
      <c r="V95" s="9">
        <v>121396</v>
      </c>
      <c r="W95" s="9">
        <v>111636</v>
      </c>
      <c r="X95" s="9">
        <v>41240</v>
      </c>
      <c r="Y95" s="9">
        <v>87547</v>
      </c>
      <c r="Z95" s="7"/>
    </row>
    <row r="96" spans="2:26">
      <c r="B96" s="1">
        <v>483220</v>
      </c>
      <c r="C96" s="1">
        <v>110428</v>
      </c>
      <c r="D96" s="1">
        <v>249630</v>
      </c>
      <c r="E96" s="1">
        <v>624729</v>
      </c>
      <c r="F96" s="2"/>
      <c r="G96" s="1">
        <v>254838</v>
      </c>
      <c r="H96" s="1">
        <v>174362</v>
      </c>
      <c r="I96" s="1">
        <v>120461</v>
      </c>
      <c r="J96" s="1">
        <v>287973</v>
      </c>
      <c r="K96" s="2"/>
      <c r="L96" s="1">
        <v>125726</v>
      </c>
      <c r="M96" s="1">
        <v>176735</v>
      </c>
      <c r="N96" s="1">
        <v>77635</v>
      </c>
      <c r="O96" s="14">
        <v>165700</v>
      </c>
      <c r="P96" s="2"/>
      <c r="Q96" s="1">
        <v>123919</v>
      </c>
      <c r="R96" s="1">
        <v>97345</v>
      </c>
      <c r="S96" s="1">
        <v>49417</v>
      </c>
      <c r="T96" s="1">
        <v>99041</v>
      </c>
      <c r="U96" s="2"/>
      <c r="V96" s="9">
        <v>127535</v>
      </c>
      <c r="W96" s="9">
        <v>155138</v>
      </c>
      <c r="X96" s="9">
        <v>39743</v>
      </c>
      <c r="Y96" s="9">
        <v>85389</v>
      </c>
      <c r="Z96" s="7"/>
    </row>
    <row r="97" spans="1:31">
      <c r="B97" s="1">
        <v>485628</v>
      </c>
      <c r="C97" s="1">
        <v>111172</v>
      </c>
      <c r="D97" s="1">
        <v>246321</v>
      </c>
      <c r="E97" s="1">
        <v>623742</v>
      </c>
      <c r="F97" s="2"/>
      <c r="G97" s="1">
        <v>248938</v>
      </c>
      <c r="H97" s="1">
        <v>97631</v>
      </c>
      <c r="I97" s="1">
        <v>127429</v>
      </c>
      <c r="J97" s="1">
        <v>311291</v>
      </c>
      <c r="K97" s="2"/>
      <c r="L97" s="1">
        <v>122222</v>
      </c>
      <c r="M97" s="1">
        <v>92558</v>
      </c>
      <c r="N97" s="1">
        <v>84497</v>
      </c>
      <c r="O97" s="14">
        <v>166860</v>
      </c>
      <c r="P97" s="2"/>
      <c r="Q97" s="1">
        <v>122452</v>
      </c>
      <c r="R97" s="1">
        <v>170185</v>
      </c>
      <c r="S97" s="1">
        <v>47838</v>
      </c>
      <c r="T97" s="1">
        <v>97500</v>
      </c>
      <c r="U97" s="2"/>
      <c r="V97" s="9">
        <v>126296</v>
      </c>
      <c r="W97" s="9">
        <v>98461</v>
      </c>
      <c r="X97" s="9">
        <v>42354</v>
      </c>
      <c r="Y97" s="9">
        <v>82297</v>
      </c>
      <c r="Z97" s="7"/>
    </row>
    <row r="98" spans="1:31">
      <c r="B98" s="1">
        <v>498765</v>
      </c>
      <c r="C98" s="1">
        <v>119117</v>
      </c>
      <c r="D98" s="1">
        <v>244131</v>
      </c>
      <c r="E98" s="1">
        <v>611075</v>
      </c>
      <c r="F98" s="2"/>
      <c r="G98" s="1">
        <v>253856</v>
      </c>
      <c r="H98" s="1">
        <v>175858</v>
      </c>
      <c r="I98" s="1">
        <v>121957</v>
      </c>
      <c r="J98" s="1">
        <v>272661</v>
      </c>
      <c r="K98" s="2"/>
      <c r="L98" s="1">
        <v>124994</v>
      </c>
      <c r="M98" s="1">
        <v>181292</v>
      </c>
      <c r="N98" s="1">
        <v>82801</v>
      </c>
      <c r="O98" s="14">
        <v>178082</v>
      </c>
      <c r="P98" s="2"/>
      <c r="Q98" s="1">
        <v>130133</v>
      </c>
      <c r="R98" s="1">
        <v>91302</v>
      </c>
      <c r="S98" s="1">
        <v>47910</v>
      </c>
      <c r="T98" s="1">
        <v>94765</v>
      </c>
      <c r="U98" s="2"/>
      <c r="V98" s="9">
        <v>124211</v>
      </c>
      <c r="W98" s="9">
        <v>96555</v>
      </c>
      <c r="X98" s="9">
        <v>39368</v>
      </c>
      <c r="Y98" s="9">
        <v>85568</v>
      </c>
      <c r="Z98" s="7"/>
    </row>
    <row r="99" spans="1:31">
      <c r="B99" s="1">
        <v>475182</v>
      </c>
      <c r="C99" s="1">
        <v>123200</v>
      </c>
      <c r="D99" s="1">
        <v>265150</v>
      </c>
      <c r="E99" s="1">
        <v>601034</v>
      </c>
      <c r="F99" s="2"/>
      <c r="G99" s="1">
        <v>240958</v>
      </c>
      <c r="H99" s="1">
        <v>102980</v>
      </c>
      <c r="I99" s="1">
        <v>120562</v>
      </c>
      <c r="J99" s="1">
        <v>306720</v>
      </c>
      <c r="K99" s="2"/>
      <c r="L99" s="1">
        <v>129252</v>
      </c>
      <c r="M99" s="1">
        <v>167166</v>
      </c>
      <c r="N99" s="1">
        <v>70574</v>
      </c>
      <c r="O99" s="14">
        <v>208311</v>
      </c>
      <c r="P99" s="2"/>
      <c r="Q99" s="1">
        <v>124941</v>
      </c>
      <c r="R99" s="1">
        <v>104589</v>
      </c>
      <c r="S99" s="1">
        <v>47547</v>
      </c>
      <c r="T99" s="1">
        <v>165069</v>
      </c>
      <c r="U99" s="2"/>
      <c r="V99" s="9">
        <v>123882</v>
      </c>
      <c r="W99" s="9">
        <v>186070</v>
      </c>
      <c r="X99" s="9">
        <v>39250</v>
      </c>
      <c r="Y99" s="9">
        <v>87045</v>
      </c>
      <c r="Z99" s="7"/>
    </row>
    <row r="100" spans="1:31">
      <c r="B100" s="1">
        <v>480672</v>
      </c>
      <c r="C100" s="1">
        <v>122400</v>
      </c>
      <c r="D100" s="1">
        <v>257202</v>
      </c>
      <c r="E100" s="1">
        <v>599375</v>
      </c>
      <c r="F100" s="2"/>
      <c r="G100" s="1">
        <v>239621</v>
      </c>
      <c r="H100" s="1">
        <v>153032</v>
      </c>
      <c r="I100" s="1">
        <v>124334</v>
      </c>
      <c r="J100" s="1">
        <v>343892</v>
      </c>
      <c r="K100" s="2"/>
      <c r="L100" s="1">
        <v>126835</v>
      </c>
      <c r="M100" s="1">
        <v>100531</v>
      </c>
      <c r="N100" s="1">
        <v>89850</v>
      </c>
      <c r="O100" s="14">
        <v>238130</v>
      </c>
      <c r="P100" s="2"/>
      <c r="Q100" s="1">
        <v>123522</v>
      </c>
      <c r="R100" s="1">
        <v>110480</v>
      </c>
      <c r="S100" s="1">
        <v>44942</v>
      </c>
      <c r="T100" s="1">
        <v>146346</v>
      </c>
      <c r="U100" s="2"/>
      <c r="V100" s="9">
        <v>128288</v>
      </c>
      <c r="W100" s="9">
        <v>111588</v>
      </c>
      <c r="X100" s="9">
        <v>39551</v>
      </c>
      <c r="Y100" s="9">
        <v>84481</v>
      </c>
      <c r="Z100" s="7"/>
    </row>
    <row r="101" spans="1:31">
      <c r="B101" s="1">
        <v>485976</v>
      </c>
      <c r="C101" s="1">
        <v>114051</v>
      </c>
      <c r="D101" s="1">
        <v>242789</v>
      </c>
      <c r="E101" s="1">
        <v>717210</v>
      </c>
      <c r="F101" s="2"/>
      <c r="G101" s="1">
        <v>266291</v>
      </c>
      <c r="H101" s="1">
        <v>103583</v>
      </c>
      <c r="I101" s="1">
        <v>127486</v>
      </c>
      <c r="J101" s="1">
        <v>269286</v>
      </c>
      <c r="K101" s="2"/>
      <c r="L101" s="1">
        <v>120190</v>
      </c>
      <c r="M101" s="1">
        <v>170702</v>
      </c>
      <c r="N101" s="1">
        <v>76053</v>
      </c>
      <c r="O101" s="14">
        <v>244499</v>
      </c>
      <c r="P101" s="2"/>
      <c r="Q101" s="1">
        <v>125847</v>
      </c>
      <c r="R101" s="1">
        <v>83164</v>
      </c>
      <c r="S101" s="1">
        <v>46080</v>
      </c>
      <c r="T101" s="1">
        <v>99666</v>
      </c>
      <c r="U101" s="2"/>
      <c r="V101" s="9">
        <v>123601</v>
      </c>
      <c r="W101" s="9">
        <v>135745</v>
      </c>
      <c r="X101" s="9">
        <v>38052</v>
      </c>
      <c r="Y101" s="9">
        <v>83744</v>
      </c>
      <c r="Z101" s="7"/>
    </row>
    <row r="102" spans="1:31">
      <c r="B102" s="1">
        <v>490636</v>
      </c>
      <c r="C102" s="1">
        <v>112693</v>
      </c>
      <c r="D102" s="1">
        <v>246458</v>
      </c>
      <c r="E102" s="1">
        <v>669606</v>
      </c>
      <c r="F102" s="2"/>
      <c r="G102" s="1">
        <v>244224</v>
      </c>
      <c r="H102" s="1">
        <v>105431</v>
      </c>
      <c r="I102" s="1">
        <v>121532</v>
      </c>
      <c r="J102" s="1">
        <v>273266</v>
      </c>
      <c r="K102" s="2"/>
      <c r="L102" s="1">
        <v>120427</v>
      </c>
      <c r="M102" s="1">
        <v>106693</v>
      </c>
      <c r="N102" s="1">
        <v>65873</v>
      </c>
      <c r="O102" s="14">
        <v>201443</v>
      </c>
      <c r="P102" s="2"/>
      <c r="Q102" s="1">
        <v>124800</v>
      </c>
      <c r="R102" s="1">
        <v>177500</v>
      </c>
      <c r="S102" s="1">
        <v>93504</v>
      </c>
      <c r="T102" s="1">
        <v>92362</v>
      </c>
      <c r="U102" s="2"/>
      <c r="V102" s="9">
        <v>124836</v>
      </c>
      <c r="W102" s="9">
        <v>96399</v>
      </c>
      <c r="X102" s="9">
        <v>39331</v>
      </c>
      <c r="Y102" s="9">
        <v>87526</v>
      </c>
      <c r="Z102" s="7"/>
    </row>
    <row r="103" spans="1:31">
      <c r="B103" s="1">
        <v>472478</v>
      </c>
      <c r="C103" s="1">
        <v>113132</v>
      </c>
      <c r="D103" s="1">
        <v>238337</v>
      </c>
      <c r="E103" s="1">
        <v>600250</v>
      </c>
      <c r="F103" s="2"/>
      <c r="G103" s="1">
        <v>255412</v>
      </c>
      <c r="H103" s="1">
        <v>97886</v>
      </c>
      <c r="I103" s="1">
        <v>123474</v>
      </c>
      <c r="J103" s="1">
        <v>305719</v>
      </c>
      <c r="K103" s="2"/>
      <c r="L103" s="1">
        <v>128076</v>
      </c>
      <c r="M103" s="1">
        <v>105555</v>
      </c>
      <c r="N103" s="1">
        <v>77097</v>
      </c>
      <c r="O103" s="14">
        <v>228906</v>
      </c>
      <c r="P103" s="2"/>
      <c r="Q103" s="1">
        <v>130121</v>
      </c>
      <c r="R103" s="1">
        <v>91905</v>
      </c>
      <c r="S103" s="1">
        <v>47727</v>
      </c>
      <c r="T103" s="1">
        <v>96555</v>
      </c>
      <c r="U103" s="2"/>
      <c r="V103" s="9">
        <v>126017</v>
      </c>
      <c r="W103" s="9">
        <v>177524</v>
      </c>
      <c r="X103" s="9">
        <v>39520</v>
      </c>
      <c r="Y103" s="9">
        <v>87141</v>
      </c>
      <c r="Z103" s="7"/>
    </row>
    <row r="104" spans="1:31">
      <c r="B104" s="1">
        <v>491083</v>
      </c>
      <c r="C104" s="1">
        <v>109791</v>
      </c>
      <c r="D104" s="1">
        <v>242625</v>
      </c>
      <c r="E104" s="1">
        <v>684352</v>
      </c>
      <c r="F104" s="2"/>
      <c r="G104" s="1">
        <v>249732</v>
      </c>
      <c r="H104" s="1">
        <v>100527</v>
      </c>
      <c r="I104" s="1">
        <v>132624</v>
      </c>
      <c r="J104" s="1">
        <v>293364</v>
      </c>
      <c r="K104" s="2"/>
      <c r="L104" s="1">
        <v>132314</v>
      </c>
      <c r="M104" s="1">
        <v>109347</v>
      </c>
      <c r="N104" s="1">
        <v>74771</v>
      </c>
      <c r="O104" s="14">
        <v>205330</v>
      </c>
      <c r="P104" s="2"/>
      <c r="Q104" s="1">
        <v>131294</v>
      </c>
      <c r="R104" s="1">
        <v>172029</v>
      </c>
      <c r="S104" s="1">
        <v>46883</v>
      </c>
      <c r="T104" s="1">
        <v>100650</v>
      </c>
      <c r="U104" s="2"/>
      <c r="V104" s="9">
        <v>127554</v>
      </c>
      <c r="W104" s="9">
        <v>95403</v>
      </c>
      <c r="X104" s="9">
        <v>40823</v>
      </c>
      <c r="Y104" s="9">
        <v>85065</v>
      </c>
      <c r="Z104" s="7"/>
    </row>
    <row r="105" spans="1:31">
      <c r="B105" s="1">
        <v>493048</v>
      </c>
      <c r="C105" s="1">
        <v>109886</v>
      </c>
      <c r="D105" s="1">
        <v>230761</v>
      </c>
      <c r="E105" s="1">
        <v>614745</v>
      </c>
      <c r="F105" s="2"/>
      <c r="G105" s="1">
        <v>267041</v>
      </c>
      <c r="H105" s="1">
        <v>126214</v>
      </c>
      <c r="I105" s="1">
        <v>118463</v>
      </c>
      <c r="J105" s="1">
        <v>312415</v>
      </c>
      <c r="K105" s="2"/>
      <c r="L105" s="1">
        <v>119689</v>
      </c>
      <c r="M105" s="1">
        <v>109949</v>
      </c>
      <c r="N105" s="1">
        <v>84056</v>
      </c>
      <c r="O105" s="14">
        <v>210200</v>
      </c>
      <c r="P105" s="2"/>
      <c r="Q105" s="1">
        <v>128960</v>
      </c>
      <c r="R105" s="1">
        <v>101361</v>
      </c>
      <c r="S105" s="1">
        <v>47290</v>
      </c>
      <c r="T105" s="1">
        <v>94820</v>
      </c>
      <c r="U105" s="2"/>
      <c r="V105" s="9">
        <v>125347</v>
      </c>
      <c r="W105" s="9">
        <v>94961</v>
      </c>
      <c r="X105" s="9">
        <v>40673</v>
      </c>
      <c r="Y105" s="9">
        <v>83004</v>
      </c>
      <c r="Z105" s="7"/>
    </row>
    <row r="106" spans="1:31">
      <c r="B106" s="1">
        <v>479023</v>
      </c>
      <c r="C106" s="1">
        <v>113991</v>
      </c>
      <c r="D106" s="1">
        <v>239772</v>
      </c>
      <c r="E106" s="1">
        <v>605677</v>
      </c>
      <c r="F106" s="2"/>
      <c r="G106" s="1">
        <v>242055</v>
      </c>
      <c r="H106" s="1">
        <v>100992</v>
      </c>
      <c r="I106" s="1">
        <v>127663</v>
      </c>
      <c r="J106" s="1">
        <v>297067</v>
      </c>
      <c r="K106" s="2"/>
      <c r="L106" s="1">
        <v>124705</v>
      </c>
      <c r="M106" s="1">
        <v>170729</v>
      </c>
      <c r="N106" s="1">
        <v>67619</v>
      </c>
      <c r="O106" s="14">
        <v>217014</v>
      </c>
      <c r="P106" s="2"/>
      <c r="Q106" s="1">
        <v>122124</v>
      </c>
      <c r="R106" s="1">
        <v>107653</v>
      </c>
      <c r="S106" s="1">
        <v>46722</v>
      </c>
      <c r="T106" s="1">
        <v>103291</v>
      </c>
      <c r="U106" s="2"/>
      <c r="V106" s="9">
        <v>120342</v>
      </c>
      <c r="W106" s="9">
        <v>179684</v>
      </c>
      <c r="X106" s="9">
        <v>40993</v>
      </c>
      <c r="Y106" s="9">
        <v>93506</v>
      </c>
      <c r="Z106" s="7"/>
    </row>
    <row r="107" spans="1:31">
      <c r="B107" s="1">
        <v>496230</v>
      </c>
      <c r="C107" s="1">
        <v>120778</v>
      </c>
      <c r="D107" s="1">
        <v>230121</v>
      </c>
      <c r="E107" s="1">
        <v>558581</v>
      </c>
      <c r="F107" s="2"/>
      <c r="G107" s="1">
        <v>247393</v>
      </c>
      <c r="H107" s="1">
        <v>100281</v>
      </c>
      <c r="I107" s="1">
        <v>132777</v>
      </c>
      <c r="J107" s="1">
        <v>276782</v>
      </c>
      <c r="K107" s="2"/>
      <c r="L107" s="1">
        <v>127899</v>
      </c>
      <c r="M107" s="1">
        <v>106787</v>
      </c>
      <c r="N107" s="1">
        <v>84945</v>
      </c>
      <c r="O107" s="14">
        <v>226204</v>
      </c>
      <c r="P107" s="2"/>
      <c r="Q107" s="1">
        <v>123446</v>
      </c>
      <c r="R107" s="1">
        <v>152199</v>
      </c>
      <c r="S107" s="1">
        <v>44557</v>
      </c>
      <c r="T107" s="1">
        <v>97350</v>
      </c>
      <c r="U107" s="2"/>
      <c r="V107" s="9">
        <v>126609</v>
      </c>
      <c r="W107" s="9">
        <v>104690</v>
      </c>
      <c r="X107" s="9">
        <v>39870</v>
      </c>
      <c r="Y107" s="9">
        <v>103895</v>
      </c>
      <c r="Z107" s="7"/>
    </row>
    <row r="108" spans="1:31">
      <c r="A108" s="6" t="s">
        <v>10</v>
      </c>
      <c r="B108" s="3">
        <f>AVERAGE(B78:B107)</f>
        <v>484101</v>
      </c>
      <c r="C108" s="3">
        <f>AVERAGE(C78:C107)</f>
        <v>115084.53333333334</v>
      </c>
      <c r="D108" s="3">
        <f t="shared" ref="D108:E108" si="8">AVERAGE(D78:D107)</f>
        <v>242046.93333333332</v>
      </c>
      <c r="E108" s="3">
        <f t="shared" si="8"/>
        <v>599782.03333333333</v>
      </c>
      <c r="F108" s="2"/>
      <c r="G108" s="3">
        <f>AVERAGE(G78:G107)</f>
        <v>254878.1</v>
      </c>
      <c r="H108" s="3">
        <f t="shared" ref="H108:J108" si="9">AVERAGE(H78:H107)</f>
        <v>114101.03333333334</v>
      </c>
      <c r="I108" s="3">
        <f t="shared" si="9"/>
        <v>122834.13333333333</v>
      </c>
      <c r="J108" s="3">
        <f t="shared" si="9"/>
        <v>303497.86666666664</v>
      </c>
      <c r="K108" s="2"/>
      <c r="L108" s="3">
        <f>AVERAGE(L78:L107)</f>
        <v>357137.06666666665</v>
      </c>
      <c r="M108" s="3">
        <f t="shared" ref="M108" si="10">AVERAGE(M78:M107)</f>
        <v>133641.79999999999</v>
      </c>
      <c r="N108" s="3">
        <f>AVERAGE(N78:N107)</f>
        <v>78625.666666666672</v>
      </c>
      <c r="O108" s="3">
        <f>AVERAGE(O78:O107)</f>
        <v>188760</v>
      </c>
      <c r="P108" s="2"/>
      <c r="Q108" s="3">
        <f>AVERAGE(Q78:Q107)</f>
        <v>362235.6</v>
      </c>
      <c r="R108" s="3">
        <f>AVERAGE(R78:R107)</f>
        <v>115451.33333333333</v>
      </c>
      <c r="S108" s="3">
        <f>AVERAGE(S78:S107)</f>
        <v>49512.566666666666</v>
      </c>
      <c r="T108" s="3">
        <f>AVERAGE(T78:T107)</f>
        <v>109972.9</v>
      </c>
      <c r="U108" s="2"/>
      <c r="V108" s="11">
        <f>AVERAGE(V78:V107)</f>
        <v>341844</v>
      </c>
      <c r="W108" s="11">
        <f t="shared" ref="W108:Y108" si="11">AVERAGE(W78:W107)</f>
        <v>122604.6</v>
      </c>
      <c r="X108" s="11">
        <f t="shared" si="11"/>
        <v>41767.9</v>
      </c>
      <c r="Y108" s="11">
        <f t="shared" si="11"/>
        <v>85268.333333333328</v>
      </c>
      <c r="Z108" s="7"/>
    </row>
    <row r="109" spans="1:31">
      <c r="V109" s="7"/>
      <c r="W109" s="7"/>
      <c r="X109" s="7"/>
      <c r="Y109" s="7"/>
      <c r="Z109" s="7"/>
    </row>
    <row r="110" spans="1:31" ht="15.75" thickBot="1">
      <c r="V110" s="7"/>
      <c r="W110" s="7"/>
      <c r="X110" s="7"/>
      <c r="Y110" s="7"/>
      <c r="Z110" s="7"/>
    </row>
    <row r="111" spans="1:31" s="7" customFormat="1" ht="16.5" customHeight="1" thickBot="1">
      <c r="B111" s="66" t="s">
        <v>38</v>
      </c>
      <c r="C111" s="67"/>
      <c r="D111" s="67"/>
      <c r="E111" s="68"/>
      <c r="G111" s="66" t="s">
        <v>38</v>
      </c>
      <c r="H111" s="67"/>
      <c r="I111" s="67"/>
      <c r="J111" s="68"/>
      <c r="L111" s="66" t="s">
        <v>38</v>
      </c>
      <c r="M111" s="67"/>
      <c r="N111" s="67"/>
      <c r="O111" s="68"/>
      <c r="Q111" s="66" t="s">
        <v>38</v>
      </c>
      <c r="R111" s="67"/>
      <c r="S111" s="67"/>
      <c r="T111" s="68"/>
      <c r="V111" s="66" t="s">
        <v>38</v>
      </c>
      <c r="W111" s="67"/>
      <c r="X111" s="67"/>
      <c r="Y111" s="68"/>
      <c r="AA111" s="20"/>
      <c r="AB111" s="20"/>
      <c r="AC111" s="20"/>
      <c r="AD111" s="20"/>
      <c r="AE111" s="20"/>
    </row>
    <row r="112" spans="1:31" s="7" customFormat="1" ht="13.5" customHeight="1" thickBot="1">
      <c r="B112" s="63" t="s">
        <v>21</v>
      </c>
      <c r="C112" s="64"/>
      <c r="D112" s="64"/>
      <c r="E112" s="65"/>
      <c r="G112" s="59" t="s">
        <v>22</v>
      </c>
      <c r="H112" s="59"/>
      <c r="I112" s="59"/>
      <c r="J112" s="59"/>
      <c r="L112" s="59" t="s">
        <v>23</v>
      </c>
      <c r="M112" s="59"/>
      <c r="N112" s="59"/>
      <c r="O112" s="59"/>
      <c r="Q112" s="59" t="s">
        <v>24</v>
      </c>
      <c r="R112" s="59"/>
      <c r="S112" s="59"/>
      <c r="T112" s="59"/>
      <c r="V112" s="59" t="s">
        <v>5</v>
      </c>
      <c r="W112" s="59"/>
      <c r="X112" s="59"/>
      <c r="Y112" s="59"/>
      <c r="AA112" s="21"/>
      <c r="AB112" s="21"/>
      <c r="AC112" s="21"/>
      <c r="AD112" s="21"/>
      <c r="AE112" s="21"/>
    </row>
    <row r="113" spans="2:26" s="7" customFormat="1" ht="45.75" thickBot="1">
      <c r="B113" s="28" t="s">
        <v>6</v>
      </c>
      <c r="C113" s="44" t="s">
        <v>7</v>
      </c>
      <c r="D113" s="43" t="s">
        <v>8</v>
      </c>
      <c r="E113" s="43" t="s">
        <v>9</v>
      </c>
      <c r="G113" s="28" t="s">
        <v>6</v>
      </c>
      <c r="H113" s="44" t="s">
        <v>7</v>
      </c>
      <c r="I113" s="43" t="s">
        <v>8</v>
      </c>
      <c r="J113" s="43" t="s">
        <v>9</v>
      </c>
      <c r="L113" s="28" t="s">
        <v>6</v>
      </c>
      <c r="M113" s="44" t="s">
        <v>7</v>
      </c>
      <c r="N113" s="43" t="s">
        <v>8</v>
      </c>
      <c r="O113" s="43" t="s">
        <v>9</v>
      </c>
      <c r="Q113" s="28" t="s">
        <v>6</v>
      </c>
      <c r="R113" s="44" t="s">
        <v>7</v>
      </c>
      <c r="S113" s="43" t="s">
        <v>8</v>
      </c>
      <c r="T113" s="43" t="s">
        <v>9</v>
      </c>
      <c r="V113" s="28" t="s">
        <v>6</v>
      </c>
      <c r="W113" s="44" t="s">
        <v>7</v>
      </c>
      <c r="X113" s="43" t="s">
        <v>8</v>
      </c>
      <c r="Y113" s="43" t="s">
        <v>9</v>
      </c>
    </row>
    <row r="114" spans="2:26">
      <c r="B114" s="1">
        <v>4848835</v>
      </c>
      <c r="C114" s="1">
        <v>1132429</v>
      </c>
      <c r="D114" s="1">
        <v>2229676</v>
      </c>
      <c r="E114" s="1">
        <v>4722257</v>
      </c>
      <c r="F114" s="2"/>
      <c r="G114" s="1">
        <v>2354027</v>
      </c>
      <c r="H114" s="1">
        <v>917655</v>
      </c>
      <c r="I114" s="1">
        <v>1236490</v>
      </c>
      <c r="J114" s="1">
        <v>2594598</v>
      </c>
      <c r="K114" s="2"/>
      <c r="L114" s="1">
        <v>1068923</v>
      </c>
      <c r="M114" s="1">
        <v>1055221</v>
      </c>
      <c r="N114" s="1">
        <v>720435</v>
      </c>
      <c r="O114" s="14">
        <v>1594438</v>
      </c>
      <c r="P114" s="2"/>
      <c r="Q114" s="1">
        <v>1011140</v>
      </c>
      <c r="R114" s="1">
        <v>1092220</v>
      </c>
      <c r="S114" s="1">
        <v>457901</v>
      </c>
      <c r="T114" s="1">
        <v>1195026</v>
      </c>
      <c r="U114" s="2"/>
      <c r="V114" s="9">
        <v>1024238</v>
      </c>
      <c r="W114" s="9">
        <v>1083107</v>
      </c>
      <c r="X114" s="9">
        <v>381274</v>
      </c>
      <c r="Y114" s="9">
        <v>1062582</v>
      </c>
      <c r="Z114" s="7"/>
    </row>
    <row r="115" spans="2:26">
      <c r="B115" s="1">
        <v>4879528</v>
      </c>
      <c r="C115" s="1">
        <v>1133749</v>
      </c>
      <c r="D115" s="1">
        <v>2244039</v>
      </c>
      <c r="E115" s="1">
        <v>4693213</v>
      </c>
      <c r="F115" s="2"/>
      <c r="G115" s="1">
        <v>2265387</v>
      </c>
      <c r="H115" s="1">
        <v>1063364</v>
      </c>
      <c r="I115" s="1">
        <v>1288825</v>
      </c>
      <c r="J115" s="1">
        <v>2603860</v>
      </c>
      <c r="K115" s="2"/>
      <c r="L115" s="1">
        <v>1060897</v>
      </c>
      <c r="M115" s="1">
        <v>1042199</v>
      </c>
      <c r="N115" s="1">
        <v>708973</v>
      </c>
      <c r="O115" s="14">
        <v>1720196</v>
      </c>
      <c r="P115" s="2"/>
      <c r="Q115" s="1">
        <v>1034391</v>
      </c>
      <c r="R115" s="1">
        <v>958716</v>
      </c>
      <c r="S115" s="1">
        <v>477965</v>
      </c>
      <c r="T115" s="1">
        <v>1221174</v>
      </c>
      <c r="U115" s="2"/>
      <c r="V115" s="9">
        <v>1206231</v>
      </c>
      <c r="W115" s="9">
        <v>1038372</v>
      </c>
      <c r="X115" s="9">
        <v>380681</v>
      </c>
      <c r="Y115" s="9">
        <v>1085102</v>
      </c>
      <c r="Z115" s="7"/>
    </row>
    <row r="116" spans="2:26">
      <c r="B116" s="1">
        <v>4846800</v>
      </c>
      <c r="C116" s="1">
        <v>1242011</v>
      </c>
      <c r="D116" s="1">
        <v>2162992</v>
      </c>
      <c r="E116" s="1">
        <v>4621475</v>
      </c>
      <c r="F116" s="2"/>
      <c r="G116" s="1">
        <v>2328225</v>
      </c>
      <c r="H116" s="1">
        <v>895174</v>
      </c>
      <c r="I116" s="1">
        <v>1214350</v>
      </c>
      <c r="J116" s="1">
        <v>2583268</v>
      </c>
      <c r="K116" s="2"/>
      <c r="L116" s="1">
        <v>1043933</v>
      </c>
      <c r="M116" s="1">
        <v>1022881</v>
      </c>
      <c r="N116" s="1">
        <v>717725</v>
      </c>
      <c r="O116" s="14">
        <v>1745054</v>
      </c>
      <c r="P116" s="2"/>
      <c r="Q116" s="1">
        <v>1026211</v>
      </c>
      <c r="R116" s="1">
        <v>1005078</v>
      </c>
      <c r="S116" s="1">
        <v>456298</v>
      </c>
      <c r="T116" s="1">
        <v>1235647</v>
      </c>
      <c r="U116" s="2"/>
      <c r="V116" s="9">
        <v>1027145</v>
      </c>
      <c r="W116" s="9">
        <v>1081986</v>
      </c>
      <c r="X116" s="9">
        <v>398722</v>
      </c>
      <c r="Y116" s="9">
        <v>1191850</v>
      </c>
      <c r="Z116" s="7"/>
    </row>
    <row r="117" spans="2:26">
      <c r="B117" s="1">
        <v>4901453</v>
      </c>
      <c r="C117" s="1">
        <v>1414729</v>
      </c>
      <c r="D117" s="1">
        <v>2136052</v>
      </c>
      <c r="E117" s="1">
        <v>4405422</v>
      </c>
      <c r="F117" s="2"/>
      <c r="G117" s="1">
        <v>2580271</v>
      </c>
      <c r="H117" s="1">
        <v>905534</v>
      </c>
      <c r="I117" s="1">
        <v>1262929</v>
      </c>
      <c r="J117" s="1">
        <v>458943</v>
      </c>
      <c r="K117" s="2"/>
      <c r="L117" s="1">
        <v>1117894</v>
      </c>
      <c r="M117" s="1">
        <v>978029</v>
      </c>
      <c r="N117" s="1">
        <v>683736</v>
      </c>
      <c r="O117" s="14">
        <v>1724286</v>
      </c>
      <c r="P117" s="2"/>
      <c r="Q117" s="1">
        <v>1026917</v>
      </c>
      <c r="R117" s="1">
        <v>1006061</v>
      </c>
      <c r="S117" s="1">
        <v>465742</v>
      </c>
      <c r="T117" s="1">
        <v>1162604</v>
      </c>
      <c r="U117" s="2"/>
      <c r="V117" s="9">
        <v>1041926</v>
      </c>
      <c r="W117" s="9">
        <v>1062172</v>
      </c>
      <c r="X117" s="9">
        <v>397046</v>
      </c>
      <c r="Y117" s="9">
        <v>-607420</v>
      </c>
      <c r="Z117" s="7"/>
    </row>
    <row r="118" spans="2:26">
      <c r="B118" s="1">
        <v>4829206</v>
      </c>
      <c r="C118" s="1">
        <v>1073488</v>
      </c>
      <c r="D118" s="1">
        <v>2281175</v>
      </c>
      <c r="E118" s="1">
        <v>2500414</v>
      </c>
      <c r="F118" s="2"/>
      <c r="G118" s="1">
        <v>2556166</v>
      </c>
      <c r="H118" s="1">
        <v>973837</v>
      </c>
      <c r="I118" s="1">
        <v>1194825</v>
      </c>
      <c r="J118" s="1">
        <v>2426073</v>
      </c>
      <c r="K118" s="2"/>
      <c r="L118" s="1">
        <v>1052793</v>
      </c>
      <c r="M118" s="1">
        <v>996906</v>
      </c>
      <c r="N118" s="1">
        <v>672676</v>
      </c>
      <c r="O118" s="14">
        <v>1578459</v>
      </c>
      <c r="P118" s="2"/>
      <c r="Q118" s="1">
        <v>1063869</v>
      </c>
      <c r="R118" s="1">
        <v>1034189</v>
      </c>
      <c r="S118" s="1">
        <v>485533</v>
      </c>
      <c r="T118" s="1">
        <v>1130391</v>
      </c>
      <c r="U118" s="2"/>
      <c r="V118" s="9">
        <v>1083976</v>
      </c>
      <c r="W118" s="9">
        <v>1072678</v>
      </c>
      <c r="X118" s="9">
        <v>405244</v>
      </c>
      <c r="Y118" s="9">
        <v>1208415</v>
      </c>
      <c r="Z118" s="7"/>
    </row>
    <row r="119" spans="2:26">
      <c r="B119" s="1">
        <v>4777591</v>
      </c>
      <c r="C119" s="1">
        <v>1182987</v>
      </c>
      <c r="D119" s="1">
        <v>2188767</v>
      </c>
      <c r="E119" s="1">
        <v>4516626</v>
      </c>
      <c r="F119" s="2"/>
      <c r="G119" s="1">
        <v>2475190</v>
      </c>
      <c r="H119" s="1">
        <v>951063</v>
      </c>
      <c r="I119" s="1">
        <v>1329758</v>
      </c>
      <c r="J119" s="1">
        <v>2481983</v>
      </c>
      <c r="K119" s="2"/>
      <c r="L119" s="1">
        <v>1046558</v>
      </c>
      <c r="M119" s="1">
        <v>967228</v>
      </c>
      <c r="N119" s="1">
        <v>689474</v>
      </c>
      <c r="O119" s="14">
        <v>1755960</v>
      </c>
      <c r="P119" s="2"/>
      <c r="Q119" s="1">
        <v>1038284</v>
      </c>
      <c r="R119" s="1">
        <v>1089211</v>
      </c>
      <c r="S119" s="1">
        <v>466834</v>
      </c>
      <c r="T119" s="1">
        <v>1258824</v>
      </c>
      <c r="U119" s="2"/>
      <c r="V119" s="9">
        <v>1056327</v>
      </c>
      <c r="W119" s="9">
        <v>1060276</v>
      </c>
      <c r="X119" s="9">
        <v>399872</v>
      </c>
      <c r="Y119" s="9">
        <v>1299245</v>
      </c>
      <c r="Z119" s="7"/>
    </row>
    <row r="120" spans="2:26">
      <c r="B120" s="1">
        <v>4909237</v>
      </c>
      <c r="C120" s="1">
        <v>1002370</v>
      </c>
      <c r="D120" s="1">
        <v>2233865</v>
      </c>
      <c r="E120" s="1">
        <v>4529621</v>
      </c>
      <c r="F120" s="2"/>
      <c r="G120" s="1">
        <v>2289140</v>
      </c>
      <c r="H120" s="1">
        <v>950710</v>
      </c>
      <c r="I120" s="1">
        <v>1329830</v>
      </c>
      <c r="J120" s="1">
        <v>2511803</v>
      </c>
      <c r="K120" s="2"/>
      <c r="L120" s="1">
        <v>1098168</v>
      </c>
      <c r="M120" s="1">
        <v>1077124</v>
      </c>
      <c r="N120" s="1">
        <v>691810</v>
      </c>
      <c r="O120" s="14">
        <v>1650611</v>
      </c>
      <c r="P120" s="2"/>
      <c r="Q120" s="1">
        <v>1037374</v>
      </c>
      <c r="R120" s="1">
        <v>1083112</v>
      </c>
      <c r="S120" s="1">
        <v>428068</v>
      </c>
      <c r="T120" s="1">
        <v>1295257</v>
      </c>
      <c r="U120" s="2"/>
      <c r="V120" s="9">
        <v>1028777</v>
      </c>
      <c r="W120" s="9">
        <v>983498</v>
      </c>
      <c r="X120" s="9">
        <v>402469</v>
      </c>
      <c r="Y120" s="9">
        <v>1311658</v>
      </c>
      <c r="Z120" s="7"/>
    </row>
    <row r="121" spans="2:26">
      <c r="B121" s="1">
        <v>4812030</v>
      </c>
      <c r="C121" s="1">
        <v>959977</v>
      </c>
      <c r="D121" s="1">
        <v>2262853</v>
      </c>
      <c r="E121" s="1">
        <v>4595856</v>
      </c>
      <c r="F121" s="2"/>
      <c r="G121" s="1">
        <v>2327388</v>
      </c>
      <c r="H121" s="1">
        <v>973250</v>
      </c>
      <c r="I121" s="1">
        <v>1258762</v>
      </c>
      <c r="J121" s="1">
        <v>2509127</v>
      </c>
      <c r="K121" s="2"/>
      <c r="L121" s="1">
        <v>1041655</v>
      </c>
      <c r="M121" s="1">
        <v>1068329</v>
      </c>
      <c r="N121" s="1">
        <v>732067</v>
      </c>
      <c r="O121" s="14">
        <v>1750091</v>
      </c>
      <c r="P121" s="2"/>
      <c r="Q121" s="1">
        <v>1032702</v>
      </c>
      <c r="R121" s="1">
        <v>1150096</v>
      </c>
      <c r="S121" s="1">
        <v>432638</v>
      </c>
      <c r="T121" s="1">
        <v>-844729</v>
      </c>
      <c r="U121" s="2"/>
      <c r="V121" s="9">
        <v>1017598</v>
      </c>
      <c r="W121" s="9">
        <v>1088158</v>
      </c>
      <c r="X121" s="9">
        <v>404092</v>
      </c>
      <c r="Y121" s="9">
        <v>1287922</v>
      </c>
      <c r="Z121" s="7"/>
    </row>
    <row r="122" spans="2:26">
      <c r="B122" s="1">
        <v>5283898</v>
      </c>
      <c r="C122" s="1">
        <v>960924</v>
      </c>
      <c r="D122" s="1">
        <v>2322376</v>
      </c>
      <c r="E122" s="1">
        <v>4622390</v>
      </c>
      <c r="F122" s="2"/>
      <c r="G122" s="1">
        <v>2432496</v>
      </c>
      <c r="H122" s="1">
        <v>893739</v>
      </c>
      <c r="I122" s="1">
        <v>1307525</v>
      </c>
      <c r="J122" s="1">
        <v>2525051</v>
      </c>
      <c r="K122" s="2"/>
      <c r="L122" s="1">
        <v>1095906</v>
      </c>
      <c r="M122" s="1">
        <v>1058488</v>
      </c>
      <c r="N122" s="1">
        <v>717122</v>
      </c>
      <c r="O122" s="14">
        <v>1779798</v>
      </c>
      <c r="P122" s="2"/>
      <c r="Q122" s="1">
        <v>1007267</v>
      </c>
      <c r="R122" s="1">
        <v>1075020</v>
      </c>
      <c r="S122" s="1">
        <v>462151</v>
      </c>
      <c r="T122" s="1">
        <v>1244691</v>
      </c>
      <c r="U122" s="2"/>
      <c r="V122" s="9">
        <v>1100673</v>
      </c>
      <c r="W122" s="9">
        <v>1008776</v>
      </c>
      <c r="X122" s="9">
        <v>408255</v>
      </c>
      <c r="Y122" s="9">
        <v>1344157</v>
      </c>
      <c r="Z122" s="7"/>
    </row>
    <row r="123" spans="2:26">
      <c r="B123" s="1">
        <v>4959152</v>
      </c>
      <c r="C123" s="1">
        <v>941847</v>
      </c>
      <c r="D123" s="1">
        <v>2095518</v>
      </c>
      <c r="E123" s="1">
        <v>4518900</v>
      </c>
      <c r="F123" s="2"/>
      <c r="G123" s="1">
        <v>2394944</v>
      </c>
      <c r="H123" s="1">
        <v>912560</v>
      </c>
      <c r="I123" s="1">
        <v>1202434</v>
      </c>
      <c r="J123" s="1">
        <v>2591548</v>
      </c>
      <c r="K123" s="2"/>
      <c r="L123" s="1">
        <v>1081156</v>
      </c>
      <c r="M123" s="1">
        <v>1031588</v>
      </c>
      <c r="N123" s="1">
        <v>713927</v>
      </c>
      <c r="O123" s="14">
        <v>1802483</v>
      </c>
      <c r="P123" s="2"/>
      <c r="Q123" s="1">
        <v>1047476</v>
      </c>
      <c r="R123" s="1">
        <v>1097725</v>
      </c>
      <c r="S123" s="1">
        <v>487574</v>
      </c>
      <c r="T123" s="1">
        <v>1184241</v>
      </c>
      <c r="U123" s="2"/>
      <c r="V123" s="9">
        <v>1161330</v>
      </c>
      <c r="W123" s="9">
        <v>1019697</v>
      </c>
      <c r="X123" s="9">
        <v>407557</v>
      </c>
      <c r="Y123" s="9">
        <v>1191699</v>
      </c>
      <c r="Z123" s="7"/>
    </row>
    <row r="124" spans="2:26">
      <c r="B124" s="1">
        <v>4992773</v>
      </c>
      <c r="C124" s="1">
        <v>943906</v>
      </c>
      <c r="D124" s="1">
        <v>2202368</v>
      </c>
      <c r="E124" s="1">
        <v>4537874</v>
      </c>
      <c r="F124" s="2"/>
      <c r="G124" s="1">
        <v>2346064</v>
      </c>
      <c r="H124" s="1">
        <v>931150</v>
      </c>
      <c r="I124" s="1">
        <v>1226610</v>
      </c>
      <c r="J124" s="1">
        <v>2637959</v>
      </c>
      <c r="K124" s="2"/>
      <c r="L124" s="1">
        <v>1059674</v>
      </c>
      <c r="M124" s="1">
        <v>992881</v>
      </c>
      <c r="N124" s="1">
        <v>695319</v>
      </c>
      <c r="O124" s="14">
        <v>1500122</v>
      </c>
      <c r="P124" s="2"/>
      <c r="Q124" s="1">
        <v>1014732</v>
      </c>
      <c r="R124" s="1">
        <v>1098875</v>
      </c>
      <c r="S124" s="1">
        <v>442261</v>
      </c>
      <c r="T124" s="1">
        <v>1254270</v>
      </c>
      <c r="U124" s="2"/>
      <c r="V124" s="9">
        <v>1033515</v>
      </c>
      <c r="W124" s="9">
        <v>1083240</v>
      </c>
      <c r="X124" s="9">
        <v>394393</v>
      </c>
      <c r="Y124" s="9">
        <v>1271862</v>
      </c>
      <c r="Z124" s="7"/>
    </row>
    <row r="125" spans="2:26">
      <c r="B125" s="1">
        <v>4829567</v>
      </c>
      <c r="C125" s="1">
        <v>949468</v>
      </c>
      <c r="D125" s="1">
        <v>2276570</v>
      </c>
      <c r="E125" s="1">
        <v>2570117</v>
      </c>
      <c r="F125" s="2"/>
      <c r="G125" s="1">
        <v>2335748</v>
      </c>
      <c r="H125" s="1">
        <v>929369</v>
      </c>
      <c r="I125" s="1">
        <v>1277691</v>
      </c>
      <c r="J125" s="1">
        <v>2468827</v>
      </c>
      <c r="K125" s="2"/>
      <c r="L125" s="1">
        <v>1035581</v>
      </c>
      <c r="M125" s="1">
        <v>1053497</v>
      </c>
      <c r="N125" s="1">
        <v>709311</v>
      </c>
      <c r="O125" s="14">
        <v>1658534</v>
      </c>
      <c r="P125" s="2"/>
      <c r="Q125" s="1">
        <v>1020167</v>
      </c>
      <c r="R125" s="1">
        <v>1100088</v>
      </c>
      <c r="S125" s="1">
        <v>475179</v>
      </c>
      <c r="T125" s="1">
        <v>1173634</v>
      </c>
      <c r="U125" s="2"/>
      <c r="V125" s="9">
        <v>1042862</v>
      </c>
      <c r="W125" s="9">
        <v>1075443</v>
      </c>
      <c r="X125" s="9">
        <v>400371</v>
      </c>
      <c r="Y125" s="9">
        <v>1241607</v>
      </c>
      <c r="Z125" s="7"/>
    </row>
    <row r="126" spans="2:26">
      <c r="B126" s="1">
        <v>4841495</v>
      </c>
      <c r="C126" s="1">
        <v>1018833</v>
      </c>
      <c r="D126" s="1">
        <v>2271666</v>
      </c>
      <c r="E126" s="1">
        <v>4533042</v>
      </c>
      <c r="F126" s="2"/>
      <c r="G126" s="1">
        <v>2318681</v>
      </c>
      <c r="H126" s="1">
        <v>924139</v>
      </c>
      <c r="I126" s="1">
        <v>1221894</v>
      </c>
      <c r="J126" s="1">
        <v>2585480</v>
      </c>
      <c r="K126" s="2"/>
      <c r="L126" s="1">
        <v>1047831</v>
      </c>
      <c r="M126" s="1">
        <v>1053139</v>
      </c>
      <c r="N126" s="1">
        <v>730395</v>
      </c>
      <c r="O126" s="14">
        <v>1631882</v>
      </c>
      <c r="P126" s="2"/>
      <c r="Q126" s="1">
        <v>1026900</v>
      </c>
      <c r="R126" s="1">
        <v>1067228</v>
      </c>
      <c r="S126" s="1">
        <v>450245</v>
      </c>
      <c r="T126" s="1">
        <v>1167960</v>
      </c>
      <c r="U126" s="2"/>
      <c r="V126" s="9">
        <v>1016273</v>
      </c>
      <c r="W126" s="9">
        <v>987324</v>
      </c>
      <c r="X126" s="9">
        <v>423007</v>
      </c>
      <c r="Y126" s="9">
        <v>1133657</v>
      </c>
      <c r="Z126" s="7"/>
    </row>
    <row r="127" spans="2:26">
      <c r="B127" s="1">
        <v>4876586</v>
      </c>
      <c r="C127" s="1">
        <v>943936</v>
      </c>
      <c r="D127" s="1">
        <v>2399132</v>
      </c>
      <c r="E127" s="1">
        <v>4538724</v>
      </c>
      <c r="F127" s="2"/>
      <c r="G127" s="1">
        <v>2626106</v>
      </c>
      <c r="H127" s="1">
        <v>1069610</v>
      </c>
      <c r="I127" s="1">
        <v>1279080</v>
      </c>
      <c r="J127" s="1">
        <v>2434783</v>
      </c>
      <c r="K127" s="2"/>
      <c r="L127" s="1">
        <v>1078748</v>
      </c>
      <c r="M127" s="1">
        <v>986504</v>
      </c>
      <c r="N127" s="1">
        <v>678577</v>
      </c>
      <c r="O127" s="14">
        <v>1571742</v>
      </c>
      <c r="P127" s="2"/>
      <c r="Q127" s="1">
        <v>1027697</v>
      </c>
      <c r="R127" s="1">
        <v>1011885</v>
      </c>
      <c r="S127" s="1">
        <v>452845</v>
      </c>
      <c r="T127" s="1">
        <v>1123348</v>
      </c>
      <c r="U127" s="2"/>
      <c r="V127" s="9">
        <v>1041784</v>
      </c>
      <c r="W127" s="9">
        <v>1021581</v>
      </c>
      <c r="X127" s="9">
        <v>405574</v>
      </c>
      <c r="Y127" s="9">
        <v>1143004</v>
      </c>
      <c r="Z127" s="7"/>
    </row>
    <row r="128" spans="2:26">
      <c r="B128" s="1">
        <v>5322177</v>
      </c>
      <c r="C128" s="1">
        <v>926316</v>
      </c>
      <c r="D128" s="1">
        <v>2411694</v>
      </c>
      <c r="E128" s="1">
        <v>4928577</v>
      </c>
      <c r="F128" s="2"/>
      <c r="G128" s="1">
        <v>2521369</v>
      </c>
      <c r="H128" s="1">
        <v>977350</v>
      </c>
      <c r="I128" s="1">
        <v>1306412</v>
      </c>
      <c r="J128" s="1">
        <v>2414759</v>
      </c>
      <c r="K128" s="2"/>
      <c r="L128" s="1">
        <v>1081565</v>
      </c>
      <c r="M128" s="1">
        <v>979145</v>
      </c>
      <c r="N128" s="1">
        <v>744350</v>
      </c>
      <c r="O128" s="14">
        <v>1584242</v>
      </c>
      <c r="P128" s="2"/>
      <c r="Q128" s="1">
        <v>1019057</v>
      </c>
      <c r="R128" s="1">
        <v>1087731</v>
      </c>
      <c r="S128" s="1">
        <v>454671</v>
      </c>
      <c r="T128" s="1">
        <v>1175441</v>
      </c>
      <c r="U128" s="2"/>
      <c r="V128" s="9">
        <v>1028822</v>
      </c>
      <c r="W128" s="9">
        <v>1157523</v>
      </c>
      <c r="X128" s="9">
        <v>397183</v>
      </c>
      <c r="Y128" s="9">
        <v>1142779</v>
      </c>
      <c r="Z128" s="7"/>
    </row>
    <row r="129" spans="1:26">
      <c r="B129" s="1">
        <v>4921345</v>
      </c>
      <c r="C129" s="1">
        <v>944686</v>
      </c>
      <c r="D129" s="1">
        <v>2237579</v>
      </c>
      <c r="E129" s="1">
        <v>4760943</v>
      </c>
      <c r="F129" s="2"/>
      <c r="G129" s="1">
        <v>2552978</v>
      </c>
      <c r="H129" s="1">
        <v>1017825</v>
      </c>
      <c r="I129" s="1">
        <v>1175627</v>
      </c>
      <c r="J129" s="1">
        <v>2391639</v>
      </c>
      <c r="K129" s="2"/>
      <c r="L129" s="1">
        <v>1033042</v>
      </c>
      <c r="M129" s="1">
        <v>978458</v>
      </c>
      <c r="N129" s="1">
        <v>756448</v>
      </c>
      <c r="O129" s="14">
        <v>1739487</v>
      </c>
      <c r="P129" s="2"/>
      <c r="Q129" s="1">
        <v>1096301</v>
      </c>
      <c r="R129" s="1">
        <v>1063983</v>
      </c>
      <c r="S129" s="1">
        <v>434248</v>
      </c>
      <c r="T129" s="1">
        <v>1340886</v>
      </c>
      <c r="U129" s="2"/>
      <c r="V129" s="9">
        <v>1058344</v>
      </c>
      <c r="W129" s="9">
        <v>1075815</v>
      </c>
      <c r="X129" s="9">
        <v>378565</v>
      </c>
      <c r="Y129" s="9">
        <v>1129222</v>
      </c>
      <c r="Z129" s="7"/>
    </row>
    <row r="130" spans="1:26">
      <c r="B130" s="1">
        <v>4907005</v>
      </c>
      <c r="C130" s="1">
        <v>963813</v>
      </c>
      <c r="D130" s="1">
        <v>2305605</v>
      </c>
      <c r="E130" s="1">
        <v>4601301</v>
      </c>
      <c r="F130" s="2"/>
      <c r="G130" s="1">
        <v>2578736</v>
      </c>
      <c r="H130" s="1">
        <v>963858</v>
      </c>
      <c r="I130" s="1">
        <v>1203844</v>
      </c>
      <c r="J130" s="1">
        <v>438829</v>
      </c>
      <c r="K130" s="2"/>
      <c r="L130" s="1">
        <v>1051472</v>
      </c>
      <c r="M130" s="1">
        <v>973218</v>
      </c>
      <c r="N130" s="1">
        <v>663991</v>
      </c>
      <c r="O130" s="14">
        <v>-417540</v>
      </c>
      <c r="P130" s="2"/>
      <c r="Q130" s="1">
        <v>1028425</v>
      </c>
      <c r="R130" s="1">
        <v>1077154</v>
      </c>
      <c r="S130" s="1">
        <v>473810</v>
      </c>
      <c r="T130" s="1">
        <v>1170756</v>
      </c>
      <c r="U130" s="2"/>
      <c r="V130" s="9">
        <v>1029654</v>
      </c>
      <c r="W130" s="9">
        <v>1004542</v>
      </c>
      <c r="X130" s="9">
        <v>381786</v>
      </c>
      <c r="Y130" s="9">
        <v>1149193</v>
      </c>
      <c r="Z130" s="7"/>
    </row>
    <row r="131" spans="1:26">
      <c r="B131" s="1">
        <v>5005073</v>
      </c>
      <c r="C131" s="1">
        <v>946356</v>
      </c>
      <c r="D131" s="1">
        <v>2398684</v>
      </c>
      <c r="E131" s="1">
        <v>4614787</v>
      </c>
      <c r="F131" s="2"/>
      <c r="G131" s="1">
        <v>2607678</v>
      </c>
      <c r="H131" s="1">
        <v>920293</v>
      </c>
      <c r="I131" s="1">
        <v>1170049</v>
      </c>
      <c r="J131" s="1">
        <v>2548985</v>
      </c>
      <c r="K131" s="2"/>
      <c r="L131" s="1">
        <v>1080751</v>
      </c>
      <c r="M131" s="1">
        <v>1081279</v>
      </c>
      <c r="N131" s="1">
        <v>671212</v>
      </c>
      <c r="O131" s="14">
        <v>1591449</v>
      </c>
      <c r="P131" s="2"/>
      <c r="Q131" s="1">
        <v>1005142</v>
      </c>
      <c r="R131" s="1">
        <v>1150903</v>
      </c>
      <c r="S131" s="1">
        <v>455718</v>
      </c>
      <c r="T131" s="1">
        <v>1210342</v>
      </c>
      <c r="U131" s="2"/>
      <c r="V131" s="9">
        <v>1049238</v>
      </c>
      <c r="W131" s="9">
        <v>1015343</v>
      </c>
      <c r="X131" s="9">
        <v>402777</v>
      </c>
      <c r="Y131" s="9">
        <v>1119903</v>
      </c>
      <c r="Z131" s="7"/>
    </row>
    <row r="132" spans="1:26">
      <c r="B132" s="1">
        <v>4848510</v>
      </c>
      <c r="C132" s="1">
        <v>937327</v>
      </c>
      <c r="D132" s="1">
        <v>2176860</v>
      </c>
      <c r="E132" s="1">
        <v>2866194</v>
      </c>
      <c r="F132" s="2"/>
      <c r="G132" s="1">
        <v>2501522</v>
      </c>
      <c r="H132" s="1">
        <v>1065242</v>
      </c>
      <c r="I132" s="1">
        <v>1216077</v>
      </c>
      <c r="J132" s="1">
        <v>2433251</v>
      </c>
      <c r="K132" s="2"/>
      <c r="L132" s="1">
        <v>1178285</v>
      </c>
      <c r="M132" s="1">
        <v>1036608</v>
      </c>
      <c r="N132" s="1">
        <v>711338</v>
      </c>
      <c r="O132" s="14">
        <v>1627320</v>
      </c>
      <c r="P132" s="2"/>
      <c r="Q132" s="1">
        <v>1019361</v>
      </c>
      <c r="R132" s="1">
        <v>1080179</v>
      </c>
      <c r="S132" s="1">
        <v>431197</v>
      </c>
      <c r="T132" s="1">
        <v>1196094</v>
      </c>
      <c r="U132" s="2"/>
      <c r="V132" s="9">
        <v>1033144</v>
      </c>
      <c r="W132" s="9">
        <v>1132178</v>
      </c>
      <c r="X132" s="9">
        <v>391881</v>
      </c>
      <c r="Y132" s="9">
        <v>1151833</v>
      </c>
      <c r="Z132" s="7"/>
    </row>
    <row r="133" spans="1:26">
      <c r="B133" s="1">
        <v>4955402</v>
      </c>
      <c r="C133" s="1">
        <v>936908</v>
      </c>
      <c r="D133" s="1">
        <v>2183395</v>
      </c>
      <c r="E133" s="1">
        <v>5099059</v>
      </c>
      <c r="F133" s="2"/>
      <c r="G133" s="1">
        <v>2470795</v>
      </c>
      <c r="H133" s="1">
        <v>929038</v>
      </c>
      <c r="I133" s="1">
        <v>1134197</v>
      </c>
      <c r="J133" s="1">
        <v>2625475</v>
      </c>
      <c r="K133" s="2"/>
      <c r="L133" s="1">
        <v>1067604</v>
      </c>
      <c r="M133" s="1">
        <v>1002626</v>
      </c>
      <c r="N133" s="1">
        <v>671563</v>
      </c>
      <c r="O133" s="14">
        <v>1612542</v>
      </c>
      <c r="P133" s="2"/>
      <c r="Q133" s="1">
        <v>1276221</v>
      </c>
      <c r="R133" s="1">
        <v>1067224</v>
      </c>
      <c r="S133" s="1">
        <v>426090</v>
      </c>
      <c r="T133" s="1">
        <v>1240795</v>
      </c>
      <c r="U133" s="2"/>
      <c r="V133" s="9">
        <v>1088444</v>
      </c>
      <c r="W133" s="9">
        <v>994855</v>
      </c>
      <c r="X133" s="9">
        <v>399751</v>
      </c>
      <c r="Y133" s="9">
        <v>1179365</v>
      </c>
      <c r="Z133" s="7"/>
    </row>
    <row r="134" spans="1:26">
      <c r="B134" s="1">
        <v>4992616</v>
      </c>
      <c r="C134" s="1">
        <v>953021</v>
      </c>
      <c r="D134" s="1">
        <v>2202099</v>
      </c>
      <c r="E134" s="1">
        <v>4903882</v>
      </c>
      <c r="F134" s="2"/>
      <c r="G134" s="1">
        <v>2418937</v>
      </c>
      <c r="H134" s="1">
        <v>920007</v>
      </c>
      <c r="I134" s="1">
        <v>1170360</v>
      </c>
      <c r="J134" s="1">
        <v>2569121</v>
      </c>
      <c r="K134" s="2"/>
      <c r="L134" s="1">
        <v>1040209</v>
      </c>
      <c r="M134" s="1">
        <v>1079380</v>
      </c>
      <c r="N134" s="1">
        <v>679036</v>
      </c>
      <c r="O134" s="14">
        <v>1518613</v>
      </c>
      <c r="P134" s="2"/>
      <c r="Q134" s="1">
        <v>1128254</v>
      </c>
      <c r="R134" s="1">
        <v>1068007</v>
      </c>
      <c r="S134" s="1">
        <v>455588</v>
      </c>
      <c r="T134" s="1">
        <v>1244322</v>
      </c>
      <c r="U134" s="2"/>
      <c r="V134" s="9">
        <v>1024972</v>
      </c>
      <c r="W134" s="9">
        <v>1091158</v>
      </c>
      <c r="X134" s="9">
        <v>388246</v>
      </c>
      <c r="Y134" s="9">
        <v>1119104</v>
      </c>
      <c r="Z134" s="7"/>
    </row>
    <row r="135" spans="1:26">
      <c r="B135" s="1">
        <v>5074792</v>
      </c>
      <c r="C135" s="1">
        <v>967981</v>
      </c>
      <c r="D135" s="1">
        <v>2319487</v>
      </c>
      <c r="E135" s="1">
        <v>5141298</v>
      </c>
      <c r="F135" s="2"/>
      <c r="G135" s="1">
        <v>2458376</v>
      </c>
      <c r="H135" s="1">
        <v>1011810</v>
      </c>
      <c r="I135" s="1">
        <v>1230468</v>
      </c>
      <c r="J135" s="1">
        <v>2526299</v>
      </c>
      <c r="K135" s="2"/>
      <c r="L135" s="1">
        <v>1037344</v>
      </c>
      <c r="M135" s="1">
        <v>975366</v>
      </c>
      <c r="N135" s="1">
        <v>709321</v>
      </c>
      <c r="O135" s="14">
        <v>1564414</v>
      </c>
      <c r="P135" s="2"/>
      <c r="Q135" s="1">
        <v>1354979</v>
      </c>
      <c r="R135" s="1">
        <v>1083243</v>
      </c>
      <c r="S135" s="1">
        <v>450308</v>
      </c>
      <c r="T135" s="1">
        <v>1153079</v>
      </c>
      <c r="U135" s="2"/>
      <c r="V135" s="9">
        <v>1036769</v>
      </c>
      <c r="W135" s="9">
        <v>1089733</v>
      </c>
      <c r="X135" s="9">
        <v>391461</v>
      </c>
      <c r="Y135" s="9">
        <v>1110524</v>
      </c>
      <c r="Z135" s="7"/>
    </row>
    <row r="136" spans="1:26">
      <c r="B136" s="1">
        <v>4888035</v>
      </c>
      <c r="C136" s="1">
        <v>940678</v>
      </c>
      <c r="D136" s="1">
        <v>2194750</v>
      </c>
      <c r="E136" s="1">
        <v>5016118</v>
      </c>
      <c r="F136" s="2"/>
      <c r="G136" s="1">
        <v>2424908</v>
      </c>
      <c r="H136" s="1">
        <v>968048</v>
      </c>
      <c r="I136" s="1">
        <v>1200317</v>
      </c>
      <c r="J136" s="1">
        <v>2919732</v>
      </c>
      <c r="K136" s="2"/>
      <c r="L136" s="1">
        <v>1059267</v>
      </c>
      <c r="M136" s="1">
        <v>1070997</v>
      </c>
      <c r="N136" s="1">
        <v>725609</v>
      </c>
      <c r="O136" s="14">
        <v>1651374</v>
      </c>
      <c r="P136" s="2"/>
      <c r="Q136" s="1">
        <v>1081040</v>
      </c>
      <c r="R136" s="1">
        <v>1053271</v>
      </c>
      <c r="S136" s="1">
        <v>452411</v>
      </c>
      <c r="T136" s="1">
        <v>1103658</v>
      </c>
      <c r="U136" s="2"/>
      <c r="V136" s="9">
        <v>1035255</v>
      </c>
      <c r="W136" s="9">
        <v>1050523</v>
      </c>
      <c r="X136" s="9">
        <v>383331</v>
      </c>
      <c r="Y136" s="9">
        <v>1128162</v>
      </c>
      <c r="Z136" s="7"/>
    </row>
    <row r="137" spans="1:26">
      <c r="B137" s="1">
        <v>4779699</v>
      </c>
      <c r="C137" s="1">
        <v>921753</v>
      </c>
      <c r="D137" s="1">
        <v>2261456</v>
      </c>
      <c r="E137" s="1">
        <v>4917213</v>
      </c>
      <c r="F137" s="2"/>
      <c r="G137" s="1">
        <v>2374058</v>
      </c>
      <c r="H137" s="1">
        <v>991866</v>
      </c>
      <c r="I137" s="1">
        <v>1221792</v>
      </c>
      <c r="J137" s="1">
        <v>2740198</v>
      </c>
      <c r="K137" s="2"/>
      <c r="L137" s="1">
        <v>1052345</v>
      </c>
      <c r="M137" s="1">
        <v>1039241</v>
      </c>
      <c r="N137" s="1">
        <v>694602</v>
      </c>
      <c r="O137" s="14">
        <v>1615753</v>
      </c>
      <c r="P137" s="2"/>
      <c r="Q137" s="1">
        <v>1017308</v>
      </c>
      <c r="R137" s="1">
        <v>1038757</v>
      </c>
      <c r="S137" s="1">
        <v>454853</v>
      </c>
      <c r="T137" s="1">
        <v>1176991</v>
      </c>
      <c r="U137" s="2"/>
      <c r="V137" s="9">
        <v>1022727</v>
      </c>
      <c r="W137" s="9">
        <v>1085809</v>
      </c>
      <c r="X137" s="9">
        <v>387280</v>
      </c>
      <c r="Y137" s="9">
        <v>1164220</v>
      </c>
      <c r="Z137" s="7"/>
    </row>
    <row r="138" spans="1:26">
      <c r="B138" s="1">
        <v>4887063</v>
      </c>
      <c r="C138" s="1">
        <v>937516</v>
      </c>
      <c r="D138" s="1">
        <v>2357134</v>
      </c>
      <c r="E138" s="1">
        <v>4648501</v>
      </c>
      <c r="F138" s="2"/>
      <c r="G138" s="1">
        <v>2347510</v>
      </c>
      <c r="H138" s="1">
        <v>944501</v>
      </c>
      <c r="I138" s="1">
        <v>1262879</v>
      </c>
      <c r="J138" s="1">
        <v>2498829</v>
      </c>
      <c r="K138" s="2"/>
      <c r="L138" s="1">
        <v>1191542</v>
      </c>
      <c r="M138" s="1">
        <v>1008398</v>
      </c>
      <c r="N138" s="1">
        <v>723963</v>
      </c>
      <c r="O138" s="14">
        <v>1684686</v>
      </c>
      <c r="P138" s="2"/>
      <c r="Q138" s="1">
        <v>1308243</v>
      </c>
      <c r="R138" s="1">
        <v>1090532</v>
      </c>
      <c r="S138" s="1">
        <v>443442</v>
      </c>
      <c r="T138" s="1">
        <v>1142439</v>
      </c>
      <c r="U138" s="2"/>
      <c r="V138" s="9">
        <v>1027255</v>
      </c>
      <c r="W138" s="9">
        <v>1059450</v>
      </c>
      <c r="X138" s="9">
        <v>401187</v>
      </c>
      <c r="Y138" s="9">
        <v>1109665</v>
      </c>
      <c r="Z138" s="7"/>
    </row>
    <row r="139" spans="1:26">
      <c r="B139" s="1">
        <v>4764096</v>
      </c>
      <c r="C139" s="1">
        <v>941343</v>
      </c>
      <c r="D139" s="1">
        <v>2244423</v>
      </c>
      <c r="E139" s="1">
        <v>2464271</v>
      </c>
      <c r="F139" s="2"/>
      <c r="G139" s="1">
        <v>2374954</v>
      </c>
      <c r="H139" s="1">
        <v>1013341</v>
      </c>
      <c r="I139" s="1">
        <v>1204392</v>
      </c>
      <c r="J139" s="1">
        <v>2437392</v>
      </c>
      <c r="K139" s="2"/>
      <c r="L139" s="1">
        <v>1035418</v>
      </c>
      <c r="M139" s="1">
        <v>986794</v>
      </c>
      <c r="N139" s="1">
        <v>687007</v>
      </c>
      <c r="O139" s="14">
        <v>1721286</v>
      </c>
      <c r="P139" s="2"/>
      <c r="Q139" s="1">
        <v>1068403</v>
      </c>
      <c r="R139" s="1">
        <v>1024652</v>
      </c>
      <c r="S139" s="1">
        <v>452080</v>
      </c>
      <c r="T139" s="1">
        <v>1102450</v>
      </c>
      <c r="U139" s="2"/>
      <c r="V139" s="9">
        <v>1040065</v>
      </c>
      <c r="W139" s="9">
        <v>1054890</v>
      </c>
      <c r="X139" s="9">
        <v>386200</v>
      </c>
      <c r="Y139" s="9">
        <v>1126804</v>
      </c>
      <c r="Z139" s="7"/>
    </row>
    <row r="140" spans="1:26">
      <c r="B140" s="1">
        <v>4991419</v>
      </c>
      <c r="C140" s="1">
        <v>971102</v>
      </c>
      <c r="D140" s="1">
        <v>2279368</v>
      </c>
      <c r="E140" s="1">
        <v>4569880</v>
      </c>
      <c r="F140" s="2"/>
      <c r="G140" s="1">
        <v>2334151</v>
      </c>
      <c r="H140" s="1">
        <v>949156</v>
      </c>
      <c r="I140" s="1">
        <v>1181436</v>
      </c>
      <c r="J140" s="1">
        <v>2409527</v>
      </c>
      <c r="K140" s="2"/>
      <c r="L140" s="1">
        <v>1166609</v>
      </c>
      <c r="M140" s="1">
        <v>967715</v>
      </c>
      <c r="N140" s="1">
        <v>693976</v>
      </c>
      <c r="O140" s="14">
        <v>1761593</v>
      </c>
      <c r="P140" s="2"/>
      <c r="Q140" s="1">
        <v>1034694</v>
      </c>
      <c r="R140" s="1">
        <v>1088315</v>
      </c>
      <c r="S140" s="1">
        <v>473273</v>
      </c>
      <c r="T140" s="1">
        <v>1133859</v>
      </c>
      <c r="U140" s="2"/>
      <c r="V140" s="9">
        <v>1046742</v>
      </c>
      <c r="W140" s="9">
        <v>1069060</v>
      </c>
      <c r="X140" s="9">
        <v>412368</v>
      </c>
      <c r="Y140" s="9">
        <v>1162676</v>
      </c>
      <c r="Z140" s="7"/>
    </row>
    <row r="141" spans="1:26">
      <c r="B141" s="1">
        <v>4923010</v>
      </c>
      <c r="C141" s="1">
        <v>959911</v>
      </c>
      <c r="D141" s="1">
        <v>2349098</v>
      </c>
      <c r="E141" s="1">
        <v>4511348</v>
      </c>
      <c r="F141" s="2"/>
      <c r="G141" s="1">
        <v>2504385</v>
      </c>
      <c r="H141" s="1">
        <v>897923</v>
      </c>
      <c r="I141" s="1">
        <v>1136971</v>
      </c>
      <c r="J141" s="1">
        <v>2515403</v>
      </c>
      <c r="K141" s="2"/>
      <c r="L141" s="1">
        <v>1053054</v>
      </c>
      <c r="M141" s="1">
        <v>1018478</v>
      </c>
      <c r="N141" s="1">
        <v>671330</v>
      </c>
      <c r="O141" s="14">
        <v>1776801</v>
      </c>
      <c r="P141" s="2"/>
      <c r="Q141" s="1">
        <v>1025748</v>
      </c>
      <c r="R141" s="1">
        <v>1007918</v>
      </c>
      <c r="S141" s="1">
        <v>445987</v>
      </c>
      <c r="T141" s="1">
        <v>1104593</v>
      </c>
      <c r="U141" s="2"/>
      <c r="V141" s="9">
        <v>1042367</v>
      </c>
      <c r="W141" s="9">
        <v>1070476</v>
      </c>
      <c r="X141" s="9">
        <v>393901</v>
      </c>
      <c r="Y141" s="9">
        <v>1176755</v>
      </c>
      <c r="Z141" s="7"/>
    </row>
    <row r="142" spans="1:26">
      <c r="B142" s="1">
        <v>4808594</v>
      </c>
      <c r="C142" s="1">
        <v>971292</v>
      </c>
      <c r="D142" s="1">
        <v>2316679</v>
      </c>
      <c r="E142" s="1">
        <v>4570485</v>
      </c>
      <c r="F142" s="2"/>
      <c r="G142" s="1">
        <v>2770835</v>
      </c>
      <c r="H142" s="1">
        <v>941516</v>
      </c>
      <c r="I142" s="1">
        <v>1218371</v>
      </c>
      <c r="J142" s="1">
        <v>416617</v>
      </c>
      <c r="K142" s="2"/>
      <c r="L142" s="1">
        <v>1064810</v>
      </c>
      <c r="M142" s="1">
        <v>959416</v>
      </c>
      <c r="N142" s="1">
        <v>732919</v>
      </c>
      <c r="O142" s="14">
        <v>1718736</v>
      </c>
      <c r="P142" s="2"/>
      <c r="Q142" s="1">
        <v>1050251</v>
      </c>
      <c r="R142" s="1">
        <v>1011604</v>
      </c>
      <c r="S142" s="1">
        <v>432553</v>
      </c>
      <c r="T142" s="1">
        <v>1180483</v>
      </c>
      <c r="U142" s="2"/>
      <c r="V142" s="9">
        <v>1075470</v>
      </c>
      <c r="W142" s="9">
        <v>1065837</v>
      </c>
      <c r="X142" s="9">
        <v>394995</v>
      </c>
      <c r="Y142" s="9">
        <v>1090622</v>
      </c>
      <c r="Z142" s="7"/>
    </row>
    <row r="143" spans="1:26">
      <c r="B143" s="1">
        <v>4835909</v>
      </c>
      <c r="C143" s="1">
        <v>965508</v>
      </c>
      <c r="D143" s="1">
        <v>2202500</v>
      </c>
      <c r="E143" s="1">
        <v>4848055</v>
      </c>
      <c r="F143" s="2"/>
      <c r="G143" s="1">
        <v>2345778</v>
      </c>
      <c r="H143" s="1">
        <v>943550</v>
      </c>
      <c r="I143" s="1">
        <v>1151396</v>
      </c>
      <c r="J143" s="1">
        <v>2608640</v>
      </c>
      <c r="K143" s="2"/>
      <c r="L143" s="1">
        <v>1075023</v>
      </c>
      <c r="M143" s="1">
        <v>1039308</v>
      </c>
      <c r="N143" s="1">
        <v>730396</v>
      </c>
      <c r="O143" s="14">
        <v>1705599</v>
      </c>
      <c r="P143" s="2"/>
      <c r="Q143" s="1">
        <v>1085225</v>
      </c>
      <c r="R143" s="1">
        <v>1067054</v>
      </c>
      <c r="S143" s="1">
        <v>458280</v>
      </c>
      <c r="T143" s="1">
        <v>1140178</v>
      </c>
      <c r="U143" s="2"/>
      <c r="V143" s="9">
        <v>1069365</v>
      </c>
      <c r="W143" s="9">
        <v>1068600</v>
      </c>
      <c r="X143" s="9">
        <v>399430</v>
      </c>
      <c r="Y143" s="9">
        <v>-972278</v>
      </c>
      <c r="Z143" s="7"/>
    </row>
    <row r="144" spans="1:26">
      <c r="A144" s="6" t="s">
        <v>10</v>
      </c>
      <c r="B144" s="3">
        <f>AVERAGE(B114:B143)</f>
        <v>4916429.8666666662</v>
      </c>
      <c r="C144" s="3">
        <f>AVERAGE(C114:C143)</f>
        <v>1002872.1666666666</v>
      </c>
      <c r="D144" s="3">
        <f t="shared" ref="D144:E144" si="12">AVERAGE(D114:D143)</f>
        <v>2258262</v>
      </c>
      <c r="E144" s="3">
        <f t="shared" si="12"/>
        <v>4412261.4333333336</v>
      </c>
      <c r="F144" s="2"/>
      <c r="G144" s="3">
        <f>AVERAGE(G114:G143)</f>
        <v>2440560.1</v>
      </c>
      <c r="H144" s="3">
        <f t="shared" ref="H144:J144" si="13">AVERAGE(H114:H143)</f>
        <v>958215.93333333335</v>
      </c>
      <c r="I144" s="3">
        <f t="shared" si="13"/>
        <v>1227186.3666666667</v>
      </c>
      <c r="J144" s="3">
        <f t="shared" si="13"/>
        <v>2330266.6333333333</v>
      </c>
      <c r="K144" s="2"/>
      <c r="L144" s="3">
        <f>AVERAGE(L114:L143)</f>
        <v>1073268.5666666667</v>
      </c>
      <c r="M144" s="3">
        <f>AVERAGE(M114:M143)</f>
        <v>1019348.0333333333</v>
      </c>
      <c r="N144" s="3">
        <f t="shared" ref="N144:O144" si="14">AVERAGE(N114:N143)</f>
        <v>704286.93333333335</v>
      </c>
      <c r="O144" s="3">
        <f t="shared" si="14"/>
        <v>1597333.7</v>
      </c>
      <c r="P144" s="2"/>
      <c r="Q144" s="3">
        <f>AVERAGE(Q114:Q143)</f>
        <v>1067125.9666666666</v>
      </c>
      <c r="R144" s="3">
        <f t="shared" ref="R144:T144" si="15">AVERAGE(R114:R143)</f>
        <v>1064334.3666666667</v>
      </c>
      <c r="S144" s="3">
        <f t="shared" si="15"/>
        <v>454524.76666666666</v>
      </c>
      <c r="T144" s="3">
        <f t="shared" si="15"/>
        <v>1120623.4666666666</v>
      </c>
      <c r="U144" s="2"/>
      <c r="V144" s="11">
        <f>AVERAGE(V114:V143)</f>
        <v>1053042.9333333333</v>
      </c>
      <c r="W144" s="11">
        <f t="shared" ref="W144:Y144" si="16">AVERAGE(W114:W143)</f>
        <v>1058403.3333333333</v>
      </c>
      <c r="X144" s="11">
        <f t="shared" si="16"/>
        <v>396629.96666666667</v>
      </c>
      <c r="Y144" s="11">
        <f t="shared" si="16"/>
        <v>1041796.3</v>
      </c>
      <c r="Z144" s="7"/>
    </row>
    <row r="146" spans="2:31" ht="15.75" thickBot="1"/>
    <row r="147" spans="2:31" s="7" customFormat="1" ht="16.5" customHeight="1" thickBot="1">
      <c r="B147" s="66" t="s">
        <v>38</v>
      </c>
      <c r="C147" s="67"/>
      <c r="D147" s="67"/>
      <c r="E147" s="68"/>
      <c r="G147" s="66" t="s">
        <v>38</v>
      </c>
      <c r="H147" s="67"/>
      <c r="I147" s="67"/>
      <c r="J147" s="68"/>
      <c r="L147" s="66" t="s">
        <v>38</v>
      </c>
      <c r="M147" s="67"/>
      <c r="N147" s="67"/>
      <c r="O147" s="68"/>
      <c r="Q147" s="66" t="s">
        <v>38</v>
      </c>
      <c r="R147" s="67"/>
      <c r="S147" s="67"/>
      <c r="T147" s="68"/>
      <c r="V147" s="66" t="s">
        <v>38</v>
      </c>
      <c r="W147" s="67"/>
      <c r="X147" s="67"/>
      <c r="Y147" s="68"/>
      <c r="AA147" s="20"/>
      <c r="AB147" s="20"/>
      <c r="AC147" s="20"/>
      <c r="AD147" s="20"/>
      <c r="AE147" s="20"/>
    </row>
    <row r="148" spans="2:31" s="7" customFormat="1" ht="13.5" customHeight="1" thickBot="1">
      <c r="B148" s="63" t="s">
        <v>26</v>
      </c>
      <c r="C148" s="64"/>
      <c r="D148" s="64"/>
      <c r="E148" s="65"/>
      <c r="G148" s="59" t="s">
        <v>27</v>
      </c>
      <c r="H148" s="59"/>
      <c r="I148" s="59"/>
      <c r="J148" s="59"/>
      <c r="L148" s="59" t="s">
        <v>3</v>
      </c>
      <c r="M148" s="59"/>
      <c r="N148" s="59"/>
      <c r="O148" s="59"/>
      <c r="Q148" s="59" t="s">
        <v>29</v>
      </c>
      <c r="R148" s="59"/>
      <c r="S148" s="59"/>
      <c r="T148" s="59"/>
      <c r="V148" s="59" t="s">
        <v>30</v>
      </c>
      <c r="W148" s="59"/>
      <c r="X148" s="59"/>
      <c r="Y148" s="59"/>
      <c r="AA148" s="21"/>
      <c r="AB148" s="21"/>
      <c r="AC148" s="21"/>
      <c r="AD148" s="21"/>
      <c r="AE148" s="21"/>
    </row>
    <row r="149" spans="2:31" s="7" customFormat="1" ht="45.75" thickBot="1">
      <c r="B149" s="28" t="s">
        <v>6</v>
      </c>
      <c r="C149" s="44" t="s">
        <v>7</v>
      </c>
      <c r="D149" s="43" t="s">
        <v>8</v>
      </c>
      <c r="E149" s="43" t="s">
        <v>9</v>
      </c>
      <c r="G149" s="28" t="s">
        <v>6</v>
      </c>
      <c r="H149" s="44" t="s">
        <v>7</v>
      </c>
      <c r="I149" s="43" t="s">
        <v>8</v>
      </c>
      <c r="J149" s="43" t="s">
        <v>9</v>
      </c>
      <c r="L149" s="28" t="s">
        <v>6</v>
      </c>
      <c r="M149" s="44" t="s">
        <v>7</v>
      </c>
      <c r="N149" s="43" t="s">
        <v>8</v>
      </c>
      <c r="O149" s="43" t="s">
        <v>9</v>
      </c>
      <c r="Q149" s="28" t="s">
        <v>6</v>
      </c>
      <c r="R149" s="44" t="s">
        <v>7</v>
      </c>
      <c r="S149" s="43" t="s">
        <v>8</v>
      </c>
      <c r="T149" s="43" t="s">
        <v>9</v>
      </c>
      <c r="V149" s="28" t="s">
        <v>6</v>
      </c>
      <c r="W149" s="44" t="s">
        <v>7</v>
      </c>
      <c r="X149" s="43" t="s">
        <v>8</v>
      </c>
      <c r="Y149" s="43" t="s">
        <v>9</v>
      </c>
    </row>
    <row r="150" spans="2:31">
      <c r="B150" s="1">
        <v>21877556</v>
      </c>
      <c r="C150" s="1">
        <v>5593390</v>
      </c>
      <c r="D150" s="1">
        <v>8958017</v>
      </c>
      <c r="E150" s="1">
        <v>23069523</v>
      </c>
      <c r="F150" s="2"/>
      <c r="G150" s="1">
        <v>9927595</v>
      </c>
      <c r="H150" s="1">
        <v>4966468</v>
      </c>
      <c r="I150" s="1">
        <v>4836517</v>
      </c>
      <c r="J150" s="1">
        <v>10890196</v>
      </c>
      <c r="K150" s="2"/>
      <c r="L150" s="1">
        <v>5181669</v>
      </c>
      <c r="M150" s="1">
        <v>4710782</v>
      </c>
      <c r="N150" s="1">
        <v>2709466</v>
      </c>
      <c r="O150" s="14">
        <v>4951370</v>
      </c>
      <c r="P150" s="2"/>
      <c r="Q150" s="1">
        <v>4167990</v>
      </c>
      <c r="R150" s="1">
        <v>4901135</v>
      </c>
      <c r="S150" s="1">
        <v>1902939</v>
      </c>
      <c r="T150" s="1">
        <v>5605764</v>
      </c>
      <c r="U150" s="2"/>
      <c r="V150" s="9">
        <v>3900272</v>
      </c>
      <c r="W150" s="9">
        <v>4802154</v>
      </c>
      <c r="X150" s="9">
        <v>1759599</v>
      </c>
      <c r="Y150" s="9">
        <v>4973048</v>
      </c>
      <c r="Z150" s="7"/>
    </row>
    <row r="151" spans="2:31">
      <c r="B151" s="1">
        <v>21658967</v>
      </c>
      <c r="C151" s="1">
        <v>5469575</v>
      </c>
      <c r="D151" s="1">
        <v>8682581</v>
      </c>
      <c r="E151" s="1">
        <v>18568264</v>
      </c>
      <c r="F151" s="2"/>
      <c r="G151" s="1">
        <v>10678294</v>
      </c>
      <c r="H151" s="1">
        <v>5281792</v>
      </c>
      <c r="I151" s="1">
        <v>4856490</v>
      </c>
      <c r="J151" s="1">
        <v>9078361</v>
      </c>
      <c r="K151" s="2"/>
      <c r="L151" s="1">
        <v>5488904</v>
      </c>
      <c r="M151" s="1">
        <v>4623948</v>
      </c>
      <c r="N151" s="1">
        <v>2890423</v>
      </c>
      <c r="O151" s="14">
        <v>7397894</v>
      </c>
      <c r="P151" s="2"/>
      <c r="Q151" s="1">
        <v>4008459</v>
      </c>
      <c r="R151" s="1">
        <v>5037344</v>
      </c>
      <c r="S151" s="1">
        <v>1997102</v>
      </c>
      <c r="T151" s="1">
        <v>5550424</v>
      </c>
      <c r="U151" s="2"/>
      <c r="V151" s="9">
        <v>4241542</v>
      </c>
      <c r="W151" s="9">
        <v>4841621</v>
      </c>
      <c r="X151" s="9">
        <v>1728859</v>
      </c>
      <c r="Y151" s="9">
        <v>5505949</v>
      </c>
      <c r="Z151" s="7"/>
    </row>
    <row r="152" spans="2:31">
      <c r="B152" s="1">
        <v>19276181</v>
      </c>
      <c r="C152" s="1">
        <v>5522648</v>
      </c>
      <c r="D152" s="1">
        <v>8584096</v>
      </c>
      <c r="E152" s="1">
        <v>19790532</v>
      </c>
      <c r="F152" s="2"/>
      <c r="G152" s="1">
        <v>9961947</v>
      </c>
      <c r="H152" s="1">
        <v>4883396</v>
      </c>
      <c r="I152" s="1">
        <v>4862796</v>
      </c>
      <c r="J152" s="1">
        <v>11316086</v>
      </c>
      <c r="K152" s="2"/>
      <c r="L152" s="1">
        <v>5281847</v>
      </c>
      <c r="M152" s="1">
        <v>4751487</v>
      </c>
      <c r="N152" s="1">
        <v>2798130</v>
      </c>
      <c r="O152" s="14">
        <v>7335538</v>
      </c>
      <c r="P152" s="2"/>
      <c r="Q152" s="1">
        <v>4137234</v>
      </c>
      <c r="R152" s="1">
        <v>4720210</v>
      </c>
      <c r="S152" s="1">
        <v>1877694</v>
      </c>
      <c r="T152" s="1">
        <v>3165288</v>
      </c>
      <c r="U152" s="2"/>
      <c r="V152" s="9">
        <v>4107299</v>
      </c>
      <c r="W152" s="9">
        <v>4834834</v>
      </c>
      <c r="X152" s="9">
        <v>1780147</v>
      </c>
      <c r="Y152" s="9">
        <v>3403745</v>
      </c>
      <c r="Z152" s="7"/>
    </row>
    <row r="153" spans="2:31">
      <c r="B153" s="1">
        <v>19181030</v>
      </c>
      <c r="C153" s="1">
        <v>5712884</v>
      </c>
      <c r="D153" s="1">
        <v>8755737</v>
      </c>
      <c r="E153" s="1">
        <v>22427825</v>
      </c>
      <c r="F153" s="2"/>
      <c r="G153" s="1">
        <v>9055367</v>
      </c>
      <c r="H153" s="1">
        <v>4897535</v>
      </c>
      <c r="I153" s="1">
        <v>4812214</v>
      </c>
      <c r="J153" s="1">
        <v>10852297</v>
      </c>
      <c r="K153" s="2"/>
      <c r="L153" s="1">
        <v>5148431</v>
      </c>
      <c r="M153" s="1">
        <v>4733647</v>
      </c>
      <c r="N153" s="1">
        <v>3395357</v>
      </c>
      <c r="O153" s="14">
        <v>7475811</v>
      </c>
      <c r="P153" s="2"/>
      <c r="Q153" s="1">
        <v>4066351</v>
      </c>
      <c r="R153" s="1">
        <v>4833744</v>
      </c>
      <c r="S153" s="1">
        <v>1899520</v>
      </c>
      <c r="T153" s="1">
        <v>5293498</v>
      </c>
      <c r="U153" s="2"/>
      <c r="V153" s="9">
        <v>4227862</v>
      </c>
      <c r="W153" s="9">
        <v>4747683</v>
      </c>
      <c r="X153" s="9">
        <v>1757425</v>
      </c>
      <c r="Y153" s="9">
        <v>5384962</v>
      </c>
      <c r="Z153" s="7"/>
    </row>
    <row r="154" spans="2:31">
      <c r="B154" s="1">
        <v>20201671</v>
      </c>
      <c r="C154" s="1">
        <v>5715115</v>
      </c>
      <c r="D154" s="1">
        <v>9001703</v>
      </c>
      <c r="E154" s="1">
        <v>20744837</v>
      </c>
      <c r="F154" s="2"/>
      <c r="G154" s="1">
        <v>9378463</v>
      </c>
      <c r="H154" s="1">
        <v>4909630</v>
      </c>
      <c r="I154" s="1">
        <v>4733919</v>
      </c>
      <c r="J154" s="1">
        <v>9213997</v>
      </c>
      <c r="K154" s="2"/>
      <c r="L154" s="1">
        <v>5139591</v>
      </c>
      <c r="M154" s="1">
        <v>4565105</v>
      </c>
      <c r="N154" s="1">
        <v>3012081</v>
      </c>
      <c r="O154" s="14">
        <v>7307365</v>
      </c>
      <c r="P154" s="2"/>
      <c r="Q154" s="1">
        <v>4145175</v>
      </c>
      <c r="R154" s="1">
        <v>4818380</v>
      </c>
      <c r="S154" s="1">
        <v>1909307</v>
      </c>
      <c r="T154" s="1">
        <v>5173240</v>
      </c>
      <c r="U154" s="2"/>
      <c r="V154" s="9">
        <v>4301841</v>
      </c>
      <c r="W154" s="9">
        <v>4855834</v>
      </c>
      <c r="X154" s="9">
        <v>1763350</v>
      </c>
      <c r="Y154" s="9">
        <v>5383543</v>
      </c>
      <c r="Z154" s="7"/>
    </row>
    <row r="155" spans="2:31">
      <c r="B155" s="1">
        <v>22083137</v>
      </c>
      <c r="C155" s="1">
        <v>5991485</v>
      </c>
      <c r="D155" s="1">
        <v>8642679</v>
      </c>
      <c r="E155" s="1">
        <v>19368461</v>
      </c>
      <c r="F155" s="2"/>
      <c r="G155" s="1">
        <v>9493889</v>
      </c>
      <c r="H155" s="1">
        <v>4820499</v>
      </c>
      <c r="I155" s="1">
        <v>4760852</v>
      </c>
      <c r="J155" s="1">
        <v>11257230</v>
      </c>
      <c r="K155" s="2"/>
      <c r="L155" s="1">
        <v>5225479</v>
      </c>
      <c r="M155" s="1">
        <v>4691474</v>
      </c>
      <c r="N155" s="1">
        <v>2856462</v>
      </c>
      <c r="O155" s="14">
        <v>4872035</v>
      </c>
      <c r="P155" s="2"/>
      <c r="Q155" s="1">
        <v>3972723</v>
      </c>
      <c r="R155" s="1">
        <v>4815653</v>
      </c>
      <c r="S155" s="1">
        <v>1902759</v>
      </c>
      <c r="T155" s="1">
        <v>5275267</v>
      </c>
      <c r="U155" s="2"/>
      <c r="V155" s="9">
        <v>4407099</v>
      </c>
      <c r="W155" s="9">
        <v>4912085</v>
      </c>
      <c r="X155" s="9">
        <v>1803982</v>
      </c>
      <c r="Y155" s="9">
        <v>5098178</v>
      </c>
      <c r="Z155" s="7"/>
    </row>
    <row r="156" spans="2:31">
      <c r="B156" s="1">
        <v>20958788</v>
      </c>
      <c r="C156" s="1">
        <v>5618296</v>
      </c>
      <c r="D156" s="1">
        <v>8581237</v>
      </c>
      <c r="E156" s="1">
        <v>23168311</v>
      </c>
      <c r="F156" s="2"/>
      <c r="G156" s="1">
        <v>10511734</v>
      </c>
      <c r="H156" s="1">
        <v>5115618</v>
      </c>
      <c r="I156" s="1">
        <v>4817037</v>
      </c>
      <c r="J156" s="1">
        <v>10742066</v>
      </c>
      <c r="K156" s="2"/>
      <c r="L156" s="1">
        <v>5150599</v>
      </c>
      <c r="M156" s="1">
        <v>4658539</v>
      </c>
      <c r="N156" s="1">
        <v>2841324</v>
      </c>
      <c r="O156" s="14">
        <v>7328323</v>
      </c>
      <c r="P156" s="2"/>
      <c r="Q156" s="1">
        <v>4084315</v>
      </c>
      <c r="R156" s="1">
        <v>4700565</v>
      </c>
      <c r="S156" s="1">
        <v>1867098</v>
      </c>
      <c r="T156" s="1">
        <v>5104049</v>
      </c>
      <c r="U156" s="2"/>
      <c r="V156" s="9">
        <v>4376289</v>
      </c>
      <c r="W156" s="9">
        <v>4839394</v>
      </c>
      <c r="X156" s="9">
        <v>1737447</v>
      </c>
      <c r="Y156" s="9">
        <v>5303351</v>
      </c>
      <c r="Z156" s="7"/>
    </row>
    <row r="157" spans="2:31">
      <c r="B157" s="1">
        <v>19265003</v>
      </c>
      <c r="C157" s="1">
        <v>5845036</v>
      </c>
      <c r="D157" s="1">
        <v>8699915</v>
      </c>
      <c r="E157" s="1">
        <v>27487919</v>
      </c>
      <c r="F157" s="2"/>
      <c r="G157" s="1">
        <v>10535525</v>
      </c>
      <c r="H157" s="1">
        <v>4772806</v>
      </c>
      <c r="I157" s="1">
        <v>4976632</v>
      </c>
      <c r="J157" s="1">
        <v>8744452</v>
      </c>
      <c r="K157" s="2"/>
      <c r="L157" s="1">
        <v>5135276</v>
      </c>
      <c r="M157" s="1">
        <v>4552310</v>
      </c>
      <c r="N157" s="1">
        <v>2737422</v>
      </c>
      <c r="O157" s="14">
        <v>7092423</v>
      </c>
      <c r="P157" s="2"/>
      <c r="Q157" s="1">
        <v>3961455</v>
      </c>
      <c r="R157" s="1">
        <v>4850925</v>
      </c>
      <c r="S157" s="1">
        <v>1947987</v>
      </c>
      <c r="T157" s="1">
        <v>5198309</v>
      </c>
      <c r="U157" s="2"/>
      <c r="V157" s="9">
        <v>4500580</v>
      </c>
      <c r="W157" s="9">
        <v>4744317</v>
      </c>
      <c r="X157" s="9">
        <v>1836192</v>
      </c>
      <c r="Y157" s="9">
        <v>5464534</v>
      </c>
      <c r="Z157" s="7"/>
    </row>
    <row r="158" spans="2:31">
      <c r="B158" s="1">
        <v>20718445</v>
      </c>
      <c r="C158" s="1">
        <v>5276111</v>
      </c>
      <c r="D158" s="1">
        <v>8847245</v>
      </c>
      <c r="E158" s="1">
        <v>22422079</v>
      </c>
      <c r="F158" s="2"/>
      <c r="G158" s="1">
        <v>10400306</v>
      </c>
      <c r="H158" s="1">
        <v>4909207</v>
      </c>
      <c r="I158" s="1">
        <v>4852354</v>
      </c>
      <c r="J158" s="1">
        <v>10933360</v>
      </c>
      <c r="K158" s="2"/>
      <c r="L158" s="1">
        <v>5510484</v>
      </c>
      <c r="M158" s="1">
        <v>4937408</v>
      </c>
      <c r="N158" s="1">
        <v>2911233</v>
      </c>
      <c r="O158" s="14">
        <v>7012962</v>
      </c>
      <c r="P158" s="2"/>
      <c r="Q158" s="1">
        <v>4025353</v>
      </c>
      <c r="R158" s="1">
        <v>4911674</v>
      </c>
      <c r="S158" s="1">
        <v>1976009</v>
      </c>
      <c r="T158" s="1">
        <v>3065366</v>
      </c>
      <c r="U158" s="2"/>
      <c r="V158" s="9">
        <v>4269480</v>
      </c>
      <c r="W158" s="9">
        <v>4813156</v>
      </c>
      <c r="X158" s="9">
        <v>1829095</v>
      </c>
      <c r="Y158" s="9">
        <v>3004199</v>
      </c>
      <c r="Z158" s="7"/>
    </row>
    <row r="159" spans="2:31">
      <c r="B159" s="1">
        <v>18626640</v>
      </c>
      <c r="C159" s="1">
        <v>5653719</v>
      </c>
      <c r="D159" s="1">
        <v>8767640</v>
      </c>
      <c r="E159" s="1">
        <v>19856165</v>
      </c>
      <c r="F159" s="2"/>
      <c r="G159" s="1">
        <v>10010791</v>
      </c>
      <c r="H159" s="1">
        <v>5132909</v>
      </c>
      <c r="I159" s="1">
        <v>4940220</v>
      </c>
      <c r="J159" s="1">
        <v>10584086</v>
      </c>
      <c r="K159" s="2"/>
      <c r="L159" s="1">
        <v>5271678</v>
      </c>
      <c r="M159" s="1">
        <v>4366185</v>
      </c>
      <c r="N159" s="1">
        <v>3052866</v>
      </c>
      <c r="O159" s="14">
        <v>5156583</v>
      </c>
      <c r="P159" s="2"/>
      <c r="Q159" s="1">
        <v>3954162</v>
      </c>
      <c r="R159" s="1">
        <v>4820561</v>
      </c>
      <c r="S159" s="1">
        <v>2462685</v>
      </c>
      <c r="T159" s="1">
        <v>5063646</v>
      </c>
      <c r="U159" s="2"/>
      <c r="V159" s="9">
        <v>4596348</v>
      </c>
      <c r="W159" s="9">
        <v>4868206</v>
      </c>
      <c r="X159" s="9">
        <v>1752245</v>
      </c>
      <c r="Y159" s="9">
        <v>5041288</v>
      </c>
      <c r="Z159" s="7"/>
    </row>
    <row r="160" spans="2:31">
      <c r="B160" s="1">
        <v>19997842</v>
      </c>
      <c r="C160" s="1">
        <v>5269643</v>
      </c>
      <c r="D160" s="1">
        <v>8763740</v>
      </c>
      <c r="E160" s="1">
        <v>23787690</v>
      </c>
      <c r="F160" s="2"/>
      <c r="G160" s="1">
        <v>9462604</v>
      </c>
      <c r="H160" s="1">
        <v>4984131</v>
      </c>
      <c r="I160" s="1">
        <v>4802551</v>
      </c>
      <c r="J160" s="1">
        <v>9240203</v>
      </c>
      <c r="K160" s="2"/>
      <c r="L160" s="1">
        <v>5165411</v>
      </c>
      <c r="M160" s="1">
        <v>4582162</v>
      </c>
      <c r="N160" s="1">
        <v>2831583</v>
      </c>
      <c r="O160" s="14">
        <v>7635033</v>
      </c>
      <c r="P160" s="2"/>
      <c r="Q160" s="1">
        <v>3896598</v>
      </c>
      <c r="R160" s="1">
        <v>4756095</v>
      </c>
      <c r="S160" s="1">
        <v>1887090</v>
      </c>
      <c r="T160" s="1">
        <v>5418922</v>
      </c>
      <c r="U160" s="2"/>
      <c r="V160" s="9">
        <v>4319461</v>
      </c>
      <c r="W160" s="9">
        <v>4674768</v>
      </c>
      <c r="X160" s="9">
        <v>1827978</v>
      </c>
      <c r="Y160" s="9">
        <v>5267951</v>
      </c>
      <c r="Z160" s="7"/>
    </row>
    <row r="161" spans="2:26">
      <c r="B161" s="1">
        <v>20107944</v>
      </c>
      <c r="C161" s="1">
        <v>5267864</v>
      </c>
      <c r="D161" s="1">
        <v>9095479</v>
      </c>
      <c r="E161" s="1">
        <v>23648948</v>
      </c>
      <c r="F161" s="2"/>
      <c r="G161" s="1">
        <v>9586148</v>
      </c>
      <c r="H161" s="1">
        <v>4804773</v>
      </c>
      <c r="I161" s="1">
        <v>4908307</v>
      </c>
      <c r="J161" s="1">
        <v>15124280</v>
      </c>
      <c r="K161" s="2"/>
      <c r="L161" s="1">
        <v>4835594</v>
      </c>
      <c r="M161" s="1">
        <v>4690537</v>
      </c>
      <c r="N161" s="1">
        <v>2913465</v>
      </c>
      <c r="O161" s="14">
        <v>8339115</v>
      </c>
      <c r="P161" s="2"/>
      <c r="Q161" s="1">
        <v>3840761</v>
      </c>
      <c r="R161" s="1">
        <v>4764959</v>
      </c>
      <c r="S161" s="1">
        <v>1955612</v>
      </c>
      <c r="T161" s="1">
        <v>5342864</v>
      </c>
      <c r="U161" s="2"/>
      <c r="V161" s="9">
        <v>4402131</v>
      </c>
      <c r="W161" s="9">
        <v>4792189</v>
      </c>
      <c r="X161" s="9">
        <v>1720453</v>
      </c>
      <c r="Y161" s="9">
        <v>5375781</v>
      </c>
      <c r="Z161" s="7"/>
    </row>
    <row r="162" spans="2:26">
      <c r="B162" s="1">
        <v>19166312</v>
      </c>
      <c r="C162" s="1">
        <v>5402781</v>
      </c>
      <c r="D162" s="1">
        <v>9046433</v>
      </c>
      <c r="E162" s="1">
        <v>19364696</v>
      </c>
      <c r="F162" s="2"/>
      <c r="G162" s="1">
        <v>10769801</v>
      </c>
      <c r="H162" s="1">
        <v>4717808</v>
      </c>
      <c r="I162" s="1">
        <v>5262928</v>
      </c>
      <c r="J162" s="1">
        <v>15298974</v>
      </c>
      <c r="K162" s="2"/>
      <c r="L162" s="1">
        <v>4416445</v>
      </c>
      <c r="M162" s="1">
        <v>4755363</v>
      </c>
      <c r="N162" s="1">
        <v>2816681</v>
      </c>
      <c r="O162" s="14">
        <v>7106796</v>
      </c>
      <c r="P162" s="2"/>
      <c r="Q162" s="1">
        <v>4519871</v>
      </c>
      <c r="R162" s="1">
        <v>4776760</v>
      </c>
      <c r="S162" s="1">
        <v>1858241</v>
      </c>
      <c r="T162" s="1">
        <v>5315598</v>
      </c>
      <c r="U162" s="2"/>
      <c r="V162" s="9">
        <v>4595040</v>
      </c>
      <c r="W162" s="9">
        <v>4731140</v>
      </c>
      <c r="X162" s="9">
        <v>2291292</v>
      </c>
      <c r="Y162" s="9">
        <v>5456290</v>
      </c>
      <c r="Z162" s="7"/>
    </row>
    <row r="163" spans="2:26">
      <c r="B163" s="1">
        <v>19813044</v>
      </c>
      <c r="C163" s="1">
        <v>5301855</v>
      </c>
      <c r="D163" s="1">
        <v>9202431</v>
      </c>
      <c r="E163" s="1">
        <v>21408409</v>
      </c>
      <c r="F163" s="2"/>
      <c r="G163" s="1">
        <v>10811899</v>
      </c>
      <c r="H163" s="1">
        <v>5156722</v>
      </c>
      <c r="I163" s="1">
        <v>4907872</v>
      </c>
      <c r="J163" s="1">
        <v>18436901</v>
      </c>
      <c r="K163" s="2"/>
      <c r="L163" s="1">
        <v>5151810</v>
      </c>
      <c r="M163" s="1">
        <v>4550721</v>
      </c>
      <c r="N163" s="1">
        <v>2866829</v>
      </c>
      <c r="O163" s="14">
        <v>5086485</v>
      </c>
      <c r="P163" s="2"/>
      <c r="Q163" s="1">
        <v>4505158</v>
      </c>
      <c r="R163" s="1">
        <v>4726215</v>
      </c>
      <c r="S163" s="1">
        <v>1896193</v>
      </c>
      <c r="T163" s="1">
        <v>5183810</v>
      </c>
      <c r="U163" s="2"/>
      <c r="V163" s="9">
        <v>4394023</v>
      </c>
      <c r="W163" s="9">
        <v>4757818</v>
      </c>
      <c r="X163" s="9">
        <v>1765025</v>
      </c>
      <c r="Y163" s="9">
        <v>5628522</v>
      </c>
      <c r="Z163" s="7"/>
    </row>
    <row r="164" spans="2:26">
      <c r="B164" s="1">
        <v>20135624</v>
      </c>
      <c r="C164" s="1">
        <v>5310851</v>
      </c>
      <c r="D164" s="1">
        <v>8685345</v>
      </c>
      <c r="E164" s="1">
        <v>22484039</v>
      </c>
      <c r="F164" s="2"/>
      <c r="G164" s="1">
        <v>9719669</v>
      </c>
      <c r="H164" s="1">
        <v>5279629</v>
      </c>
      <c r="I164" s="1">
        <v>4811240</v>
      </c>
      <c r="J164" s="1">
        <v>13525291</v>
      </c>
      <c r="K164" s="2"/>
      <c r="L164" s="1">
        <v>5204824</v>
      </c>
      <c r="M164" s="1">
        <v>4713689</v>
      </c>
      <c r="N164" s="1">
        <v>3416448</v>
      </c>
      <c r="O164" s="14">
        <v>6907239</v>
      </c>
      <c r="P164" s="2"/>
      <c r="Q164" s="1">
        <v>3968555</v>
      </c>
      <c r="R164" s="1">
        <v>4752816</v>
      </c>
      <c r="S164" s="1">
        <v>1846351</v>
      </c>
      <c r="T164" s="1">
        <v>3107772</v>
      </c>
      <c r="U164" s="2"/>
      <c r="V164" s="9">
        <v>4406339</v>
      </c>
      <c r="W164" s="9">
        <v>4989602</v>
      </c>
      <c r="X164" s="9">
        <v>1814233</v>
      </c>
      <c r="Y164" s="9">
        <v>3708085</v>
      </c>
      <c r="Z164" s="7"/>
    </row>
    <row r="165" spans="2:26">
      <c r="B165" s="1">
        <v>20840423</v>
      </c>
      <c r="C165" s="1">
        <v>5270342</v>
      </c>
      <c r="D165" s="1">
        <v>8767167</v>
      </c>
      <c r="E165" s="1">
        <v>20013811</v>
      </c>
      <c r="F165" s="2"/>
      <c r="G165" s="1">
        <v>9984385</v>
      </c>
      <c r="H165" s="1">
        <v>4742420</v>
      </c>
      <c r="I165" s="1">
        <v>4831931</v>
      </c>
      <c r="J165" s="1">
        <v>15121718</v>
      </c>
      <c r="K165" s="2"/>
      <c r="L165" s="1">
        <v>5026899</v>
      </c>
      <c r="M165" s="1">
        <v>4538947</v>
      </c>
      <c r="N165" s="1">
        <v>2734132</v>
      </c>
      <c r="O165" s="14">
        <v>7033861</v>
      </c>
      <c r="P165" s="2"/>
      <c r="Q165" s="1">
        <v>4004323</v>
      </c>
      <c r="R165" s="1">
        <v>4782442</v>
      </c>
      <c r="S165" s="1">
        <v>1900723</v>
      </c>
      <c r="T165" s="1">
        <v>5153471</v>
      </c>
      <c r="U165" s="2"/>
      <c r="V165" s="9">
        <v>4364711</v>
      </c>
      <c r="W165" s="9">
        <v>4781308</v>
      </c>
      <c r="X165" s="9">
        <v>1761270</v>
      </c>
      <c r="Y165" s="9">
        <v>5663366</v>
      </c>
      <c r="Z165" s="7"/>
    </row>
    <row r="166" spans="2:26">
      <c r="B166" s="1">
        <v>21951471</v>
      </c>
      <c r="C166" s="1">
        <v>5296828</v>
      </c>
      <c r="D166" s="1">
        <v>8766246</v>
      </c>
      <c r="E166" s="1">
        <v>20462174</v>
      </c>
      <c r="F166" s="2"/>
      <c r="G166" s="1">
        <v>9183744</v>
      </c>
      <c r="H166" s="1">
        <v>4941919</v>
      </c>
      <c r="I166" s="1">
        <v>4702615</v>
      </c>
      <c r="J166" s="1">
        <v>12384062</v>
      </c>
      <c r="K166" s="2"/>
      <c r="L166" s="1">
        <v>4875161</v>
      </c>
      <c r="M166" s="1">
        <v>4603536</v>
      </c>
      <c r="N166" s="1">
        <v>2864864</v>
      </c>
      <c r="O166" s="14">
        <v>7196668</v>
      </c>
      <c r="P166" s="2"/>
      <c r="Q166" s="1">
        <v>4011481</v>
      </c>
      <c r="R166" s="1">
        <v>4819593</v>
      </c>
      <c r="S166" s="1">
        <v>1872610</v>
      </c>
      <c r="T166" s="1">
        <v>5318894</v>
      </c>
      <c r="U166" s="2"/>
      <c r="V166" s="9">
        <v>4299165</v>
      </c>
      <c r="W166" s="9">
        <v>4823217</v>
      </c>
      <c r="X166" s="9">
        <v>1809343</v>
      </c>
      <c r="Y166" s="9">
        <v>5235292</v>
      </c>
      <c r="Z166" s="7"/>
    </row>
    <row r="167" spans="2:26">
      <c r="B167" s="1">
        <v>21916355</v>
      </c>
      <c r="C167" s="1">
        <v>5534888</v>
      </c>
      <c r="D167" s="1">
        <v>8622058</v>
      </c>
      <c r="E167" s="1">
        <v>22892803</v>
      </c>
      <c r="F167" s="2"/>
      <c r="G167" s="1">
        <v>9810592</v>
      </c>
      <c r="H167" s="1">
        <v>4751728</v>
      </c>
      <c r="I167" s="1">
        <v>4844082</v>
      </c>
      <c r="J167" s="1">
        <v>13817972</v>
      </c>
      <c r="K167" s="2"/>
      <c r="L167" s="1">
        <v>4777031</v>
      </c>
      <c r="M167" s="1">
        <v>4513928</v>
      </c>
      <c r="N167" s="1">
        <v>2845338</v>
      </c>
      <c r="O167" s="14">
        <v>6873117</v>
      </c>
      <c r="P167" s="2"/>
      <c r="Q167" s="1">
        <v>3844659</v>
      </c>
      <c r="R167" s="1">
        <v>4792430</v>
      </c>
      <c r="S167" s="1">
        <v>1856420</v>
      </c>
      <c r="T167" s="1">
        <v>5157819</v>
      </c>
      <c r="U167" s="2"/>
      <c r="V167" s="9">
        <v>4402114</v>
      </c>
      <c r="W167" s="9">
        <v>4750742</v>
      </c>
      <c r="X167" s="9">
        <v>1839517</v>
      </c>
      <c r="Y167" s="9">
        <v>4948442</v>
      </c>
      <c r="Z167" s="7"/>
    </row>
    <row r="168" spans="2:26">
      <c r="B168" s="1">
        <v>20534533</v>
      </c>
      <c r="C168" s="1">
        <v>5308172</v>
      </c>
      <c r="D168" s="1">
        <v>9188686</v>
      </c>
      <c r="E168" s="1">
        <v>23884592</v>
      </c>
      <c r="F168" s="2"/>
      <c r="G168" s="1">
        <v>9598689</v>
      </c>
      <c r="H168" s="1">
        <v>4810850</v>
      </c>
      <c r="I168" s="1">
        <v>5155850</v>
      </c>
      <c r="J168" s="1">
        <v>9705807</v>
      </c>
      <c r="K168" s="2"/>
      <c r="L168" s="1">
        <v>5135164</v>
      </c>
      <c r="M168" s="1">
        <v>4555944</v>
      </c>
      <c r="N168" s="1">
        <v>2786561</v>
      </c>
      <c r="O168" s="14">
        <v>5081191</v>
      </c>
      <c r="P168" s="2"/>
      <c r="Q168" s="1">
        <v>4078951</v>
      </c>
      <c r="R168" s="1">
        <v>4876208</v>
      </c>
      <c r="S168" s="1">
        <v>1931785</v>
      </c>
      <c r="T168" s="1">
        <v>5170086</v>
      </c>
      <c r="U168" s="2"/>
      <c r="V168" s="9">
        <v>4404169</v>
      </c>
      <c r="W168" s="9">
        <v>4721682</v>
      </c>
      <c r="X168" s="9">
        <v>1777325</v>
      </c>
      <c r="Y168" s="9">
        <v>5139062</v>
      </c>
      <c r="Z168" s="7"/>
    </row>
    <row r="169" spans="2:26">
      <c r="B169" s="1">
        <v>18696484</v>
      </c>
      <c r="C169" s="1">
        <v>5259499</v>
      </c>
      <c r="D169" s="1">
        <v>8743504</v>
      </c>
      <c r="E169" s="1">
        <v>20551537</v>
      </c>
      <c r="F169" s="2"/>
      <c r="G169" s="1">
        <v>9932982</v>
      </c>
      <c r="H169" s="1">
        <v>4594888</v>
      </c>
      <c r="I169" s="1">
        <v>4759365</v>
      </c>
      <c r="J169" s="1">
        <v>10736783</v>
      </c>
      <c r="K169" s="2"/>
      <c r="L169" s="1">
        <v>5154592</v>
      </c>
      <c r="M169" s="1">
        <v>4517594</v>
      </c>
      <c r="N169" s="1">
        <v>2705992</v>
      </c>
      <c r="O169" s="14">
        <v>6804789</v>
      </c>
      <c r="P169" s="2"/>
      <c r="Q169" s="1">
        <v>3924444</v>
      </c>
      <c r="R169" s="1">
        <v>4761302</v>
      </c>
      <c r="S169" s="1">
        <v>1887836</v>
      </c>
      <c r="T169" s="1">
        <v>5159788</v>
      </c>
      <c r="U169" s="2"/>
      <c r="V169" s="9">
        <v>4333206</v>
      </c>
      <c r="W169" s="9">
        <v>4676053</v>
      </c>
      <c r="X169" s="9">
        <v>1784649</v>
      </c>
      <c r="Y169" s="9">
        <v>5127408</v>
      </c>
      <c r="Z169" s="7"/>
    </row>
    <row r="170" spans="2:26">
      <c r="B170" s="1">
        <v>20306367</v>
      </c>
      <c r="C170" s="1">
        <v>5547779</v>
      </c>
      <c r="D170" s="1">
        <v>8691407</v>
      </c>
      <c r="E170" s="1">
        <v>21761928</v>
      </c>
      <c r="F170" s="2"/>
      <c r="G170" s="1">
        <v>9308095</v>
      </c>
      <c r="H170" s="1">
        <v>4669885</v>
      </c>
      <c r="I170" s="1">
        <v>4752597</v>
      </c>
      <c r="J170" s="1">
        <v>10713326</v>
      </c>
      <c r="K170" s="2"/>
      <c r="L170" s="1">
        <v>5156947</v>
      </c>
      <c r="M170" s="1">
        <v>4787814</v>
      </c>
      <c r="N170" s="1">
        <v>2775035</v>
      </c>
      <c r="O170" s="14">
        <v>7323050</v>
      </c>
      <c r="P170" s="2"/>
      <c r="Q170" s="1">
        <v>4034587</v>
      </c>
      <c r="R170" s="1">
        <v>4857858</v>
      </c>
      <c r="S170" s="1">
        <v>1952748</v>
      </c>
      <c r="T170" s="1">
        <v>2895824</v>
      </c>
      <c r="U170" s="2"/>
      <c r="V170" s="9">
        <v>4358648</v>
      </c>
      <c r="W170" s="9">
        <v>4763725</v>
      </c>
      <c r="X170" s="9">
        <v>1815664</v>
      </c>
      <c r="Y170" s="9">
        <v>2913222</v>
      </c>
      <c r="Z170" s="7"/>
    </row>
    <row r="171" spans="2:26">
      <c r="B171" s="1">
        <v>20864872</v>
      </c>
      <c r="C171" s="1">
        <v>5529885</v>
      </c>
      <c r="D171" s="1">
        <v>8574777</v>
      </c>
      <c r="E171" s="1">
        <v>22821196</v>
      </c>
      <c r="F171" s="2"/>
      <c r="G171" s="1">
        <v>10099032</v>
      </c>
      <c r="H171" s="1">
        <v>4912117</v>
      </c>
      <c r="I171" s="1">
        <v>4684302</v>
      </c>
      <c r="J171" s="1">
        <v>8065497</v>
      </c>
      <c r="K171" s="2"/>
      <c r="L171" s="1">
        <v>5150467</v>
      </c>
      <c r="M171" s="1">
        <v>4659659</v>
      </c>
      <c r="N171" s="1">
        <v>2777414</v>
      </c>
      <c r="O171" s="14">
        <v>7485016</v>
      </c>
      <c r="P171" s="2"/>
      <c r="Q171" s="1">
        <v>4253056</v>
      </c>
      <c r="R171" s="1">
        <v>4986128</v>
      </c>
      <c r="S171" s="1">
        <v>1926750</v>
      </c>
      <c r="T171" s="1">
        <v>5005632</v>
      </c>
      <c r="U171" s="2"/>
      <c r="V171" s="9">
        <v>4312179</v>
      </c>
      <c r="W171" s="9">
        <v>4623767</v>
      </c>
      <c r="X171" s="9">
        <v>1725726</v>
      </c>
      <c r="Y171" s="9">
        <v>5020267</v>
      </c>
      <c r="Z171" s="7"/>
    </row>
    <row r="172" spans="2:26">
      <c r="B172" s="1">
        <v>19309357</v>
      </c>
      <c r="C172" s="1">
        <v>5139868</v>
      </c>
      <c r="D172" s="1">
        <v>9009268</v>
      </c>
      <c r="E172" s="1">
        <v>19488186</v>
      </c>
      <c r="F172" s="2"/>
      <c r="G172" s="1">
        <v>10135423</v>
      </c>
      <c r="H172" s="1">
        <v>4958062</v>
      </c>
      <c r="I172" s="1">
        <v>4817429</v>
      </c>
      <c r="J172" s="1">
        <v>10405562</v>
      </c>
      <c r="K172" s="2"/>
      <c r="L172" s="1">
        <v>5079239</v>
      </c>
      <c r="M172" s="1">
        <v>4491069</v>
      </c>
      <c r="N172" s="1">
        <v>2792507</v>
      </c>
      <c r="O172" s="14">
        <v>5031500</v>
      </c>
      <c r="P172" s="2"/>
      <c r="Q172" s="1">
        <v>4068952</v>
      </c>
      <c r="R172" s="1">
        <v>4810020</v>
      </c>
      <c r="S172" s="1">
        <v>1993628</v>
      </c>
      <c r="T172" s="1">
        <v>6029776</v>
      </c>
      <c r="U172" s="2"/>
      <c r="V172" s="9">
        <v>4523658</v>
      </c>
      <c r="W172" s="9">
        <v>4786688</v>
      </c>
      <c r="X172" s="9">
        <v>1774072</v>
      </c>
      <c r="Y172" s="9">
        <v>5034573</v>
      </c>
      <c r="Z172" s="7"/>
    </row>
    <row r="173" spans="2:26">
      <c r="B173" s="1">
        <v>19748373</v>
      </c>
      <c r="C173" s="1">
        <v>5331969</v>
      </c>
      <c r="D173" s="1">
        <v>8840494</v>
      </c>
      <c r="E173" s="1">
        <v>21014723</v>
      </c>
      <c r="F173" s="2"/>
      <c r="G173" s="1">
        <v>9996072</v>
      </c>
      <c r="H173" s="1">
        <v>4868925</v>
      </c>
      <c r="I173" s="1">
        <v>4908011</v>
      </c>
      <c r="J173" s="1">
        <v>10319762</v>
      </c>
      <c r="K173" s="2"/>
      <c r="L173" s="1">
        <v>5027911</v>
      </c>
      <c r="M173" s="1">
        <v>4663336</v>
      </c>
      <c r="N173" s="1">
        <v>2887234</v>
      </c>
      <c r="O173" s="14">
        <v>7000553</v>
      </c>
      <c r="P173" s="2"/>
      <c r="Q173" s="1">
        <v>4324962</v>
      </c>
      <c r="R173" s="1">
        <v>4663426</v>
      </c>
      <c r="S173" s="1">
        <v>1915942</v>
      </c>
      <c r="T173" s="1">
        <v>5275377</v>
      </c>
      <c r="U173" s="2"/>
      <c r="V173" s="9">
        <v>4447614</v>
      </c>
      <c r="W173" s="9">
        <v>4782334</v>
      </c>
      <c r="X173" s="9">
        <v>1821010</v>
      </c>
      <c r="Y173" s="9">
        <v>5024194</v>
      </c>
      <c r="Z173" s="7"/>
    </row>
    <row r="174" spans="2:26">
      <c r="B174" s="1">
        <v>19386400</v>
      </c>
      <c r="C174" s="1">
        <v>5217405</v>
      </c>
      <c r="D174" s="1">
        <v>8655068</v>
      </c>
      <c r="E174" s="1">
        <v>23056798</v>
      </c>
      <c r="F174" s="2"/>
      <c r="G174" s="1">
        <v>9464990</v>
      </c>
      <c r="H174" s="1">
        <v>4743257</v>
      </c>
      <c r="I174" s="1">
        <v>4743684</v>
      </c>
      <c r="J174" s="1">
        <v>8405343</v>
      </c>
      <c r="K174" s="2"/>
      <c r="L174" s="1">
        <v>4716778</v>
      </c>
      <c r="M174" s="1">
        <v>4693436</v>
      </c>
      <c r="N174" s="1">
        <v>2797424</v>
      </c>
      <c r="O174" s="14">
        <v>6718106</v>
      </c>
      <c r="P174" s="2"/>
      <c r="Q174" s="1">
        <v>4294037</v>
      </c>
      <c r="R174" s="1">
        <v>4771074</v>
      </c>
      <c r="S174" s="1">
        <v>1917199</v>
      </c>
      <c r="T174" s="1">
        <v>5308239</v>
      </c>
      <c r="U174" s="2"/>
      <c r="V174" s="9">
        <v>4353110</v>
      </c>
      <c r="W174" s="9">
        <v>4758047</v>
      </c>
      <c r="X174" s="9">
        <v>1772049</v>
      </c>
      <c r="Y174" s="9">
        <v>5629096</v>
      </c>
      <c r="Z174" s="7"/>
    </row>
    <row r="175" spans="2:26">
      <c r="B175" s="1">
        <v>18551113</v>
      </c>
      <c r="C175" s="1">
        <v>5197135</v>
      </c>
      <c r="D175" s="1">
        <v>8688227</v>
      </c>
      <c r="E175" s="1">
        <v>22723624</v>
      </c>
      <c r="F175" s="2"/>
      <c r="G175" s="1">
        <v>10283604</v>
      </c>
      <c r="H175" s="1">
        <v>4743020</v>
      </c>
      <c r="I175" s="1">
        <v>5019539</v>
      </c>
      <c r="J175" s="1">
        <v>11310531</v>
      </c>
      <c r="K175" s="2"/>
      <c r="L175" s="1">
        <v>5020677</v>
      </c>
      <c r="M175" s="1">
        <v>4707036</v>
      </c>
      <c r="N175" s="1">
        <v>3285412</v>
      </c>
      <c r="O175" s="14">
        <v>6827140</v>
      </c>
      <c r="P175" s="2"/>
      <c r="Q175" s="1">
        <v>3988885</v>
      </c>
      <c r="R175" s="1">
        <v>4779121</v>
      </c>
      <c r="S175" s="1">
        <v>2359925</v>
      </c>
      <c r="T175" s="1">
        <v>5398989</v>
      </c>
      <c r="U175" s="2"/>
      <c r="V175" s="9">
        <v>4433649</v>
      </c>
      <c r="W175" s="9">
        <v>4819591</v>
      </c>
      <c r="X175" s="9">
        <v>1814050</v>
      </c>
      <c r="Y175" s="9">
        <v>5213775</v>
      </c>
      <c r="Z175" s="7"/>
    </row>
    <row r="176" spans="2:26">
      <c r="B176" s="1">
        <v>20330156</v>
      </c>
      <c r="C176" s="1">
        <v>5190161</v>
      </c>
      <c r="D176" s="1">
        <v>8773687</v>
      </c>
      <c r="E176" s="1">
        <v>20325708</v>
      </c>
      <c r="F176" s="2"/>
      <c r="G176" s="1">
        <v>9869347</v>
      </c>
      <c r="H176" s="1">
        <v>4847595</v>
      </c>
      <c r="I176" s="1">
        <v>4708806</v>
      </c>
      <c r="J176" s="1">
        <v>11525461</v>
      </c>
      <c r="K176" s="2"/>
      <c r="L176" s="1">
        <v>4784279</v>
      </c>
      <c r="M176" s="1">
        <v>4681546</v>
      </c>
      <c r="N176" s="1">
        <v>2777466</v>
      </c>
      <c r="O176" s="14">
        <v>6971940</v>
      </c>
      <c r="P176" s="2"/>
      <c r="Q176" s="1">
        <v>4023493</v>
      </c>
      <c r="R176" s="1">
        <v>4812398</v>
      </c>
      <c r="S176" s="1">
        <v>1891921</v>
      </c>
      <c r="T176" s="1">
        <v>3633337</v>
      </c>
      <c r="U176" s="2"/>
      <c r="V176" s="9">
        <v>4404143</v>
      </c>
      <c r="W176" s="9">
        <v>4763086</v>
      </c>
      <c r="X176" s="9">
        <v>1727224</v>
      </c>
      <c r="Y176" s="9">
        <v>2937892</v>
      </c>
      <c r="Z176" s="7"/>
    </row>
    <row r="177" spans="1:26">
      <c r="B177" s="1">
        <v>21997811</v>
      </c>
      <c r="C177" s="1">
        <v>5234818</v>
      </c>
      <c r="D177" s="1">
        <v>8620493</v>
      </c>
      <c r="E177" s="1">
        <v>18680484</v>
      </c>
      <c r="F177" s="2"/>
      <c r="G177" s="1">
        <v>9867759</v>
      </c>
      <c r="H177" s="1">
        <v>4703871</v>
      </c>
      <c r="I177" s="1">
        <v>4919592</v>
      </c>
      <c r="J177" s="1">
        <v>8764001</v>
      </c>
      <c r="K177" s="2"/>
      <c r="L177" s="1">
        <v>5033006</v>
      </c>
      <c r="M177" s="1">
        <v>4502643</v>
      </c>
      <c r="N177" s="1">
        <v>2847899</v>
      </c>
      <c r="O177" s="14">
        <v>5028307</v>
      </c>
      <c r="P177" s="2"/>
      <c r="Q177" s="1">
        <v>3989779</v>
      </c>
      <c r="R177" s="1">
        <v>4744756</v>
      </c>
      <c r="S177" s="1">
        <v>1844522</v>
      </c>
      <c r="T177" s="1">
        <v>5433384</v>
      </c>
      <c r="U177" s="2"/>
      <c r="V177" s="9">
        <v>4397944</v>
      </c>
      <c r="W177" s="9">
        <v>4863883</v>
      </c>
      <c r="X177" s="9">
        <v>1756251</v>
      </c>
      <c r="Y177" s="9">
        <v>5023836</v>
      </c>
      <c r="Z177" s="7"/>
    </row>
    <row r="178" spans="1:26">
      <c r="B178" s="1">
        <v>19796733</v>
      </c>
      <c r="C178" s="1">
        <v>5320633</v>
      </c>
      <c r="D178" s="1">
        <v>8741899</v>
      </c>
      <c r="E178" s="1">
        <v>21183728</v>
      </c>
      <c r="F178" s="2"/>
      <c r="G178" s="1">
        <v>10576244</v>
      </c>
      <c r="H178" s="1">
        <v>4900491</v>
      </c>
      <c r="I178" s="1">
        <v>4699505</v>
      </c>
      <c r="J178" s="1">
        <v>10605031</v>
      </c>
      <c r="K178" s="2"/>
      <c r="L178" s="1">
        <v>5034515</v>
      </c>
      <c r="M178" s="1">
        <v>4328871</v>
      </c>
      <c r="N178" s="1">
        <v>2848406</v>
      </c>
      <c r="O178" s="14">
        <v>7168145</v>
      </c>
      <c r="P178" s="2"/>
      <c r="Q178" s="1">
        <v>4236373</v>
      </c>
      <c r="R178" s="1">
        <v>4743834</v>
      </c>
      <c r="S178" s="1">
        <v>1918649</v>
      </c>
      <c r="T178" s="1">
        <v>5807777</v>
      </c>
      <c r="U178" s="2"/>
      <c r="V178" s="9">
        <v>4427631</v>
      </c>
      <c r="W178" s="9">
        <v>4674624</v>
      </c>
      <c r="X178" s="9">
        <v>1766906</v>
      </c>
      <c r="Y178" s="9">
        <v>5478251</v>
      </c>
      <c r="Z178" s="7"/>
    </row>
    <row r="179" spans="1:26">
      <c r="B179" s="1">
        <v>20164585</v>
      </c>
      <c r="C179" s="1">
        <v>5290198</v>
      </c>
      <c r="D179" s="1">
        <v>9188458</v>
      </c>
      <c r="E179" s="1">
        <v>18316846</v>
      </c>
      <c r="F179" s="2"/>
      <c r="G179" s="1">
        <v>10643576</v>
      </c>
      <c r="H179" s="1">
        <v>4822903</v>
      </c>
      <c r="I179" s="1">
        <v>4789763</v>
      </c>
      <c r="J179" s="1">
        <v>12220327</v>
      </c>
      <c r="K179" s="2"/>
      <c r="L179" s="1">
        <v>5124497</v>
      </c>
      <c r="M179" s="1">
        <v>4492623</v>
      </c>
      <c r="N179" s="1">
        <v>2834417</v>
      </c>
      <c r="O179" s="14">
        <v>7104862</v>
      </c>
      <c r="P179" s="2"/>
      <c r="Q179" s="1">
        <v>3950926</v>
      </c>
      <c r="R179" s="1">
        <v>4698438</v>
      </c>
      <c r="S179" s="1">
        <v>1845645</v>
      </c>
      <c r="T179" s="1">
        <v>5119360</v>
      </c>
      <c r="U179" s="2"/>
      <c r="V179" s="9">
        <v>4449953</v>
      </c>
      <c r="W179" s="9">
        <v>5095036</v>
      </c>
      <c r="X179" s="9">
        <v>1768218</v>
      </c>
      <c r="Y179" s="9">
        <v>5015050</v>
      </c>
      <c r="Z179" s="7"/>
    </row>
    <row r="180" spans="1:26">
      <c r="A180" s="6" t="s">
        <v>10</v>
      </c>
      <c r="B180" s="3">
        <f>AVERAGE(B150:B179)</f>
        <v>20248773.899999999</v>
      </c>
      <c r="C180" s="3">
        <f>AVERAGE(C150:C179)</f>
        <v>5420694.4333333336</v>
      </c>
      <c r="D180" s="3">
        <f t="shared" ref="D180:E180" si="17">AVERAGE(D150:D179)</f>
        <v>8806190.5666666664</v>
      </c>
      <c r="E180" s="3">
        <f t="shared" si="17"/>
        <v>21492527.866666667</v>
      </c>
      <c r="F180" s="2"/>
      <c r="G180" s="3">
        <f>AVERAGE(G150:G179)</f>
        <v>9968618.8666666672</v>
      </c>
      <c r="H180" s="3">
        <f t="shared" ref="H180:J180" si="18">AVERAGE(H150:H179)</f>
        <v>4888161.8</v>
      </c>
      <c r="I180" s="3">
        <f t="shared" si="18"/>
        <v>4849300</v>
      </c>
      <c r="J180" s="3">
        <f t="shared" si="18"/>
        <v>11311298.766666668</v>
      </c>
      <c r="K180" s="2"/>
      <c r="L180" s="3">
        <f>AVERAGE(L150:L179)</f>
        <v>5080173.5</v>
      </c>
      <c r="M180" s="3">
        <f>AVERAGE(M150:M179)</f>
        <v>4620711.3</v>
      </c>
      <c r="N180" s="3">
        <f t="shared" ref="N180:O180" si="19">AVERAGE(N150:N179)</f>
        <v>2886995.7</v>
      </c>
      <c r="O180" s="3">
        <f t="shared" si="19"/>
        <v>6688440.5666666664</v>
      </c>
      <c r="P180" s="2"/>
      <c r="Q180" s="3">
        <f>AVERAGE(Q150:Q179)</f>
        <v>4076102.2666666666</v>
      </c>
      <c r="R180" s="3">
        <f t="shared" ref="R180:T180" si="20">AVERAGE(R150:R179)</f>
        <v>4802868.8</v>
      </c>
      <c r="S180" s="3">
        <f t="shared" si="20"/>
        <v>1940096.3333333333</v>
      </c>
      <c r="T180" s="3">
        <f t="shared" si="20"/>
        <v>4957719</v>
      </c>
      <c r="U180" s="2"/>
      <c r="V180" s="11">
        <f>AVERAGE(V150:V179)</f>
        <v>4365250</v>
      </c>
      <c r="W180" s="11">
        <f t="shared" ref="W180:Y180" si="21">AVERAGE(W150:W179)</f>
        <v>4796286.1333333338</v>
      </c>
      <c r="X180" s="11">
        <f t="shared" si="21"/>
        <v>1796019.8666666667</v>
      </c>
      <c r="Y180" s="11">
        <f t="shared" si="21"/>
        <v>4913438.4000000004</v>
      </c>
      <c r="Z180" s="7"/>
    </row>
  </sheetData>
  <mergeCells count="50">
    <mergeCell ref="B3:E3"/>
    <mergeCell ref="G3:J3"/>
    <mergeCell ref="B40:E40"/>
    <mergeCell ref="G40:J40"/>
    <mergeCell ref="V3:Y3"/>
    <mergeCell ref="V4:Y4"/>
    <mergeCell ref="Q39:T39"/>
    <mergeCell ref="V39:Y39"/>
    <mergeCell ref="V40:Y40"/>
    <mergeCell ref="Q40:T40"/>
    <mergeCell ref="B4:E4"/>
    <mergeCell ref="G4:J4"/>
    <mergeCell ref="B112:E112"/>
    <mergeCell ref="G112:J112"/>
    <mergeCell ref="L112:O112"/>
    <mergeCell ref="B111:E111"/>
    <mergeCell ref="B76:E76"/>
    <mergeCell ref="G76:J76"/>
    <mergeCell ref="L76:O76"/>
    <mergeCell ref="B75:E75"/>
    <mergeCell ref="G75:J75"/>
    <mergeCell ref="L75:O75"/>
    <mergeCell ref="V112:Y112"/>
    <mergeCell ref="V111:Y111"/>
    <mergeCell ref="L40:O40"/>
    <mergeCell ref="B39:E39"/>
    <mergeCell ref="G39:J39"/>
    <mergeCell ref="L39:O39"/>
    <mergeCell ref="V76:Y76"/>
    <mergeCell ref="V75:Y75"/>
    <mergeCell ref="Q76:T76"/>
    <mergeCell ref="Q75:T75"/>
    <mergeCell ref="G111:J111"/>
    <mergeCell ref="L111:O111"/>
    <mergeCell ref="L3:O3"/>
    <mergeCell ref="L4:O4"/>
    <mergeCell ref="Q112:T112"/>
    <mergeCell ref="Q111:T111"/>
    <mergeCell ref="Q3:T3"/>
    <mergeCell ref="Q4:T4"/>
    <mergeCell ref="B147:E147"/>
    <mergeCell ref="G147:J147"/>
    <mergeCell ref="L147:O147"/>
    <mergeCell ref="Q147:T147"/>
    <mergeCell ref="V147:Y147"/>
    <mergeCell ref="B148:E148"/>
    <mergeCell ref="G148:J148"/>
    <mergeCell ref="L148:O148"/>
    <mergeCell ref="Q148:T148"/>
    <mergeCell ref="V148:Y14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BD58-F5FA-42E0-9E07-B7E14CD0524D}">
  <dimension ref="B2:T30"/>
  <sheetViews>
    <sheetView topLeftCell="B23" zoomScale="76" zoomScaleNormal="100" workbookViewId="0">
      <selection activeCell="N55" sqref="N55"/>
    </sheetView>
  </sheetViews>
  <sheetFormatPr defaultColWidth="10.85546875" defaultRowHeight="15"/>
  <cols>
    <col min="1" max="1" width="14.42578125" style="4" customWidth="1"/>
    <col min="2" max="2" width="13.140625" style="4" customWidth="1"/>
    <col min="3" max="3" width="35.140625" style="4" customWidth="1"/>
    <col min="4" max="4" width="32.140625" style="4" customWidth="1"/>
    <col min="5" max="5" width="24.5703125" style="4" customWidth="1"/>
    <col min="6" max="6" width="20.85546875" style="4" customWidth="1"/>
    <col min="7" max="7" width="19.85546875" style="4" customWidth="1"/>
    <col min="8" max="8" width="2.7109375" style="4" customWidth="1"/>
    <col min="9" max="9" width="13.7109375" style="4" customWidth="1"/>
    <col min="10" max="10" width="31.42578125" style="4" customWidth="1"/>
    <col min="11" max="11" width="24.42578125" style="4" customWidth="1"/>
    <col min="12" max="12" width="16.85546875" style="4" customWidth="1"/>
    <col min="13" max="13" width="24.42578125" style="4" customWidth="1"/>
    <col min="14" max="14" width="23.5703125" style="4" customWidth="1"/>
    <col min="15" max="15" width="10.85546875" style="4"/>
    <col min="16" max="16" width="15.7109375" style="4" customWidth="1"/>
    <col min="17" max="17" width="29.140625" style="4" customWidth="1"/>
    <col min="18" max="18" width="25.7109375" style="4" customWidth="1"/>
    <col min="19" max="19" width="26.140625" style="4" customWidth="1"/>
    <col min="20" max="20" width="22.85546875" style="4" customWidth="1"/>
    <col min="21" max="16384" width="10.85546875" style="4"/>
  </cols>
  <sheetData>
    <row r="2" spans="2:20" ht="15" customHeight="1" thickBot="1">
      <c r="B2" s="25"/>
    </row>
    <row r="3" spans="2:20" ht="39" customHeight="1" thickBot="1">
      <c r="B3" s="69" t="s">
        <v>31</v>
      </c>
      <c r="C3" s="70"/>
      <c r="D3" s="70"/>
      <c r="E3" s="70"/>
      <c r="F3" s="71"/>
      <c r="G3" s="53"/>
      <c r="I3" s="69" t="s">
        <v>32</v>
      </c>
      <c r="J3" s="70"/>
      <c r="K3" s="70"/>
      <c r="L3" s="70"/>
      <c r="M3" s="71"/>
      <c r="N3" s="51"/>
      <c r="P3" s="69" t="s">
        <v>33</v>
      </c>
      <c r="Q3" s="70"/>
      <c r="R3" s="70"/>
      <c r="S3" s="70"/>
      <c r="T3" s="71"/>
    </row>
    <row r="4" spans="2:20" ht="21.95" customHeight="1" thickBot="1">
      <c r="B4" s="31"/>
      <c r="C4" s="72" t="s">
        <v>34</v>
      </c>
      <c r="D4" s="73"/>
      <c r="E4" s="73"/>
      <c r="F4" s="74"/>
      <c r="G4" s="7"/>
      <c r="I4" s="31"/>
      <c r="J4" s="72" t="s">
        <v>34</v>
      </c>
      <c r="K4" s="73"/>
      <c r="L4" s="73"/>
      <c r="M4" s="74"/>
      <c r="N4" s="41"/>
      <c r="P4" s="31"/>
      <c r="Q4" s="72" t="s">
        <v>34</v>
      </c>
      <c r="R4" s="73"/>
      <c r="S4" s="73"/>
      <c r="T4" s="74"/>
    </row>
    <row r="5" spans="2:20" ht="60.75" thickBot="1">
      <c r="B5" s="29" t="s">
        <v>35</v>
      </c>
      <c r="C5" s="28" t="s">
        <v>6</v>
      </c>
      <c r="D5" s="44" t="s">
        <v>7</v>
      </c>
      <c r="E5" s="43" t="s">
        <v>8</v>
      </c>
      <c r="F5" s="54" t="s">
        <v>9</v>
      </c>
      <c r="G5" s="7"/>
      <c r="I5" s="29" t="s">
        <v>35</v>
      </c>
      <c r="J5" s="28" t="s">
        <v>6</v>
      </c>
      <c r="K5" s="44" t="s">
        <v>7</v>
      </c>
      <c r="L5" s="43" t="s">
        <v>8</v>
      </c>
      <c r="M5" s="54" t="s">
        <v>9</v>
      </c>
      <c r="N5" s="7"/>
      <c r="P5" s="29" t="s">
        <v>35</v>
      </c>
      <c r="Q5" s="28" t="s">
        <v>6</v>
      </c>
      <c r="R5" s="44" t="s">
        <v>7</v>
      </c>
      <c r="S5" s="43" t="s">
        <v>8</v>
      </c>
      <c r="T5" s="54" t="s">
        <v>9</v>
      </c>
    </row>
    <row r="6" spans="2:20" ht="15.75" thickBot="1">
      <c r="B6" s="35">
        <v>1</v>
      </c>
      <c r="C6" s="38">
        <f>OpenMP!B36</f>
        <v>574.73333333333335</v>
      </c>
      <c r="D6" s="19">
        <f>OpenMP!C36</f>
        <v>77.13333333333334</v>
      </c>
      <c r="E6" s="37">
        <f>OpenMP!D36</f>
        <v>257.93333333333334</v>
      </c>
      <c r="F6" s="37">
        <f>OpenMP!E36</f>
        <v>346.13333333333333</v>
      </c>
      <c r="G6" s="7"/>
      <c r="I6" s="35">
        <v>1</v>
      </c>
      <c r="J6" s="38">
        <f>OpenMP!B72</f>
        <v>4236.0333333333338</v>
      </c>
      <c r="K6" s="38">
        <f>OpenMP!C72</f>
        <v>680.56666666666672</v>
      </c>
      <c r="L6" s="38">
        <f>OpenMP!D72</f>
        <v>1907</v>
      </c>
      <c r="M6" s="38">
        <f>OpenMP!E72</f>
        <v>3094.3</v>
      </c>
      <c r="N6" s="7"/>
      <c r="P6" s="35">
        <v>1</v>
      </c>
      <c r="Q6" s="38">
        <f>OpenMP!B108</f>
        <v>484101</v>
      </c>
      <c r="R6" s="19">
        <f>OpenMP!C108</f>
        <v>115084.53333333334</v>
      </c>
      <c r="S6" s="37">
        <f>OpenMP!D108</f>
        <v>242046.93333333332</v>
      </c>
      <c r="T6" s="37">
        <f>OpenMP!E108</f>
        <v>599782.03333333333</v>
      </c>
    </row>
    <row r="7" spans="2:20" ht="15.75" thickBot="1">
      <c r="B7" s="36">
        <v>2</v>
      </c>
      <c r="C7" s="39">
        <f>OpenMP!G36</f>
        <v>376.73333333333335</v>
      </c>
      <c r="D7" s="30">
        <f>OpenMP!H36</f>
        <v>432.6</v>
      </c>
      <c r="E7" s="32">
        <f>OpenMP!I36</f>
        <v>168</v>
      </c>
      <c r="F7" s="32">
        <f>OpenMP!J36</f>
        <v>577.76666666666665</v>
      </c>
      <c r="G7" s="7"/>
      <c r="I7" s="36">
        <v>2</v>
      </c>
      <c r="J7" s="38">
        <f>OpenMP!G72</f>
        <v>2920.7666666666669</v>
      </c>
      <c r="K7" s="38">
        <f>OpenMP!H72</f>
        <v>459.5</v>
      </c>
      <c r="L7" s="38">
        <f>OpenMP!I72</f>
        <v>1078</v>
      </c>
      <c r="M7" s="38">
        <f>OpenMP!J72</f>
        <v>2271.0666666666666</v>
      </c>
      <c r="N7" s="7"/>
      <c r="P7" s="36">
        <v>2</v>
      </c>
      <c r="Q7" s="38">
        <f>OpenMP!G108</f>
        <v>254878.1</v>
      </c>
      <c r="R7" s="30">
        <f>OpenMP!H108</f>
        <v>114101.03333333334</v>
      </c>
      <c r="S7" s="32">
        <f>OpenMP!I108</f>
        <v>122834.13333333333</v>
      </c>
      <c r="T7" s="32">
        <f>OpenMP!J108</f>
        <v>303497.86666666664</v>
      </c>
    </row>
    <row r="8" spans="2:20" ht="15.75" thickBot="1">
      <c r="B8" s="35">
        <v>4</v>
      </c>
      <c r="C8" s="39">
        <f>OpenMP!L36</f>
        <v>832.13333333333333</v>
      </c>
      <c r="D8" s="30">
        <f>OpenMP!M36</f>
        <v>1354</v>
      </c>
      <c r="E8" s="32">
        <f>OpenMP!N36</f>
        <v>229</v>
      </c>
      <c r="F8" s="32">
        <f>OpenMP!O36</f>
        <v>662.5333333333333</v>
      </c>
      <c r="G8" s="7"/>
      <c r="I8" s="35">
        <v>4</v>
      </c>
      <c r="J8" s="38">
        <f>OpenMP!L72</f>
        <v>1913.5</v>
      </c>
      <c r="K8" s="38">
        <f>OpenMP!M72</f>
        <v>3501.5</v>
      </c>
      <c r="L8" s="38">
        <f>OpenMP!N72</f>
        <v>674</v>
      </c>
      <c r="M8" s="38">
        <f>OpenMP!O72</f>
        <v>1904.2333333333333</v>
      </c>
      <c r="N8" s="7"/>
      <c r="P8" s="35">
        <v>4</v>
      </c>
      <c r="Q8" s="38">
        <f>OpenMP!L108</f>
        <v>357137.06666666665</v>
      </c>
      <c r="R8" s="30">
        <f>OpenMP!M108</f>
        <v>133641.79999999999</v>
      </c>
      <c r="S8" s="32">
        <f>OpenMP!N108</f>
        <v>78625.666666666672</v>
      </c>
      <c r="T8" s="32">
        <f>OpenMP!O108</f>
        <v>188760</v>
      </c>
    </row>
    <row r="9" spans="2:20" ht="15.75" thickBot="1">
      <c r="B9" s="35">
        <v>8</v>
      </c>
      <c r="C9" s="39">
        <f>OpenMP!Q36</f>
        <v>700.7</v>
      </c>
      <c r="D9" s="30">
        <f>OpenMP!R36</f>
        <v>466.93333333333334</v>
      </c>
      <c r="E9" s="32">
        <f>OpenMP!S36</f>
        <v>448</v>
      </c>
      <c r="F9" s="32">
        <f>OpenMP!T36</f>
        <v>1169.0333333333333</v>
      </c>
      <c r="G9" s="7"/>
      <c r="I9" s="35">
        <v>8</v>
      </c>
      <c r="J9" s="38">
        <f>OpenMP!Q72</f>
        <v>1657.4666666666667</v>
      </c>
      <c r="K9" s="38">
        <f>OpenMP!R72</f>
        <v>963.13333333333333</v>
      </c>
      <c r="L9" s="38">
        <f>OpenMP!S72</f>
        <v>707</v>
      </c>
      <c r="M9" s="38">
        <f>OpenMP!T72</f>
        <v>1791.6666666666667</v>
      </c>
      <c r="N9" s="7"/>
      <c r="P9" s="35">
        <v>8</v>
      </c>
      <c r="Q9" s="38">
        <f>OpenMP!Q108</f>
        <v>362235.6</v>
      </c>
      <c r="R9" s="30">
        <f>OpenMP!R108</f>
        <v>115451.33333333333</v>
      </c>
      <c r="S9" s="32">
        <f>OpenMP!S108</f>
        <v>49512.566666666666</v>
      </c>
      <c r="T9" s="32">
        <f>OpenMP!T108</f>
        <v>109972.9</v>
      </c>
    </row>
    <row r="10" spans="2:20" ht="15.75" thickBot="1">
      <c r="B10" s="34">
        <v>10</v>
      </c>
      <c r="C10" s="39">
        <f>OpenMP!V36</f>
        <v>710.5333333333333</v>
      </c>
      <c r="D10" s="39">
        <f>OpenMP!W36</f>
        <v>590.16666666666663</v>
      </c>
      <c r="E10" s="30">
        <f>OpenMP!X36</f>
        <v>430</v>
      </c>
      <c r="F10" s="32">
        <f>OpenMP!Y36</f>
        <v>1366.1333333333334</v>
      </c>
      <c r="G10" s="7"/>
      <c r="H10" s="7"/>
      <c r="I10" s="34">
        <v>10</v>
      </c>
      <c r="J10" s="38">
        <f>OpenMP!V72</f>
        <v>1717.2666666666667</v>
      </c>
      <c r="K10" s="38">
        <f>OpenMP!W72</f>
        <v>692.76666666666665</v>
      </c>
      <c r="L10" s="38">
        <f>OpenMP!X72</f>
        <v>713.4</v>
      </c>
      <c r="M10" s="38">
        <f>OpenMP!Y72</f>
        <v>2043.3666666666666</v>
      </c>
      <c r="N10" s="7"/>
      <c r="P10" s="34">
        <v>10</v>
      </c>
      <c r="Q10" s="38">
        <f>OpenMP!V108</f>
        <v>341844</v>
      </c>
      <c r="R10" s="38">
        <f>OpenMP!W108</f>
        <v>122604.6</v>
      </c>
      <c r="S10" s="38">
        <f>OpenMP!X108</f>
        <v>41767.9</v>
      </c>
      <c r="T10" s="38">
        <f>OpenMP!Y108</f>
        <v>85268.333333333328</v>
      </c>
    </row>
    <row r="11" spans="2:20">
      <c r="B11" s="49"/>
      <c r="C11" s="7"/>
      <c r="D11" s="7"/>
      <c r="E11" s="7"/>
      <c r="F11" s="7"/>
      <c r="G11" s="7"/>
      <c r="H11" s="7"/>
      <c r="I11" s="49"/>
      <c r="J11" s="7"/>
      <c r="K11" s="7"/>
      <c r="L11" s="7"/>
      <c r="M11" s="7"/>
      <c r="N11" s="7"/>
    </row>
    <row r="12" spans="2:20" ht="15.95" customHeight="1"/>
    <row r="13" spans="2:20" ht="31.5" customHeight="1" thickBot="1">
      <c r="B13" s="75" t="s">
        <v>36</v>
      </c>
      <c r="C13" s="76"/>
      <c r="D13" s="76"/>
      <c r="E13" s="76"/>
      <c r="F13" s="77"/>
      <c r="G13" s="53"/>
      <c r="H13" s="7"/>
      <c r="I13" s="75" t="s">
        <v>37</v>
      </c>
      <c r="J13" s="76"/>
      <c r="K13" s="76"/>
      <c r="L13" s="76"/>
      <c r="M13" s="77"/>
      <c r="N13" s="53"/>
    </row>
    <row r="14" spans="2:20" ht="15.75" thickBot="1">
      <c r="B14" s="31"/>
      <c r="C14" s="72" t="s">
        <v>34</v>
      </c>
      <c r="D14" s="73"/>
      <c r="E14" s="73"/>
      <c r="F14" s="74"/>
      <c r="G14" s="7"/>
      <c r="H14" s="7"/>
      <c r="I14" s="31"/>
      <c r="J14" s="72" t="s">
        <v>34</v>
      </c>
      <c r="K14" s="73"/>
      <c r="L14" s="73"/>
      <c r="M14" s="74"/>
      <c r="N14" s="7"/>
    </row>
    <row r="15" spans="2:20" ht="60.75" thickBot="1">
      <c r="B15" s="29" t="s">
        <v>35</v>
      </c>
      <c r="C15" s="28" t="s">
        <v>6</v>
      </c>
      <c r="D15" s="44" t="s">
        <v>7</v>
      </c>
      <c r="E15" s="43" t="s">
        <v>8</v>
      </c>
      <c r="F15" s="54" t="s">
        <v>9</v>
      </c>
      <c r="G15" s="7"/>
      <c r="I15" s="29" t="s">
        <v>35</v>
      </c>
      <c r="J15" s="28" t="s">
        <v>6</v>
      </c>
      <c r="K15" s="44" t="s">
        <v>7</v>
      </c>
      <c r="L15" s="43" t="s">
        <v>8</v>
      </c>
      <c r="M15" s="54" t="s">
        <v>9</v>
      </c>
      <c r="N15" s="7"/>
    </row>
    <row r="16" spans="2:20" ht="15.75" thickBot="1">
      <c r="B16" s="35">
        <v>1</v>
      </c>
      <c r="C16" s="39">
        <f>OpenMP!B144</f>
        <v>4916429.8666666662</v>
      </c>
      <c r="D16" s="39">
        <f>OpenMP!C144</f>
        <v>1002872.1666666666</v>
      </c>
      <c r="E16" s="39">
        <f>OpenMP!D144</f>
        <v>2258262</v>
      </c>
      <c r="F16" s="39">
        <f>OpenMP!E144</f>
        <v>4412261.4333333336</v>
      </c>
      <c r="G16" s="7"/>
      <c r="I16" s="35">
        <v>1</v>
      </c>
      <c r="J16" s="38">
        <f>OpenMP!B180</f>
        <v>20248773.899999999</v>
      </c>
      <c r="K16" s="19">
        <f>OpenMP!C180</f>
        <v>5420694.4333333336</v>
      </c>
      <c r="L16" s="37">
        <f>OpenMP!D180</f>
        <v>8806190.5666666664</v>
      </c>
      <c r="M16" s="37">
        <f>OpenMP!E180</f>
        <v>21492527.866666667</v>
      </c>
      <c r="N16" s="7"/>
    </row>
    <row r="17" spans="2:14" ht="15.75" thickBot="1">
      <c r="B17" s="36">
        <v>2</v>
      </c>
      <c r="C17" s="39">
        <f>OpenMP!G144</f>
        <v>2440560.1</v>
      </c>
      <c r="D17" s="39">
        <f>OpenMP!H144</f>
        <v>958215.93333333335</v>
      </c>
      <c r="E17" s="32">
        <f>OpenMP!I144</f>
        <v>1227186.3666666667</v>
      </c>
      <c r="F17" s="39">
        <f>OpenMP!J144</f>
        <v>2330266.6333333333</v>
      </c>
      <c r="G17" s="7"/>
      <c r="I17" s="36">
        <v>2</v>
      </c>
      <c r="J17" s="39">
        <f>OpenMP!G180</f>
        <v>9968618.8666666672</v>
      </c>
      <c r="K17" s="30">
        <f>OpenMP!H180</f>
        <v>4888161.8</v>
      </c>
      <c r="L17" s="32">
        <f>OpenMP!I180</f>
        <v>4849300</v>
      </c>
      <c r="M17" s="32">
        <f>OpenMP!J180</f>
        <v>11311298.766666668</v>
      </c>
      <c r="N17" s="7"/>
    </row>
    <row r="18" spans="2:14">
      <c r="B18" s="35">
        <v>4</v>
      </c>
      <c r="C18" s="39">
        <f>OpenMP!L144</f>
        <v>1073268.5666666667</v>
      </c>
      <c r="D18" s="39">
        <f>OpenMP!M144</f>
        <v>1019348.0333333333</v>
      </c>
      <c r="E18" s="32">
        <f>OpenMP!N144</f>
        <v>704286.93333333335</v>
      </c>
      <c r="F18" s="32">
        <f>OpenMP!O144</f>
        <v>1597333.7</v>
      </c>
      <c r="G18" s="7"/>
      <c r="I18" s="35">
        <v>4</v>
      </c>
      <c r="J18" s="39">
        <f>OpenMP!L180</f>
        <v>5080173.5</v>
      </c>
      <c r="K18" s="30">
        <f>OpenMP!M180</f>
        <v>4620711.3</v>
      </c>
      <c r="L18" s="32">
        <f>OpenMP!N180</f>
        <v>2886995.7</v>
      </c>
      <c r="M18" s="32">
        <f>OpenMP!O180</f>
        <v>6688440.5666666664</v>
      </c>
      <c r="N18" s="7"/>
    </row>
    <row r="19" spans="2:14" ht="15.75" thickBot="1">
      <c r="B19" s="35">
        <v>8</v>
      </c>
      <c r="C19" s="39">
        <f>OpenMP!Q144</f>
        <v>1067125.9666666666</v>
      </c>
      <c r="D19" s="39">
        <f>OpenMP!W144</f>
        <v>1058403.3333333333</v>
      </c>
      <c r="E19" s="32">
        <f>OpenMP!S144</f>
        <v>454524.76666666666</v>
      </c>
      <c r="F19" s="32">
        <f>OpenMP!T144</f>
        <v>1120623.4666666666</v>
      </c>
      <c r="G19" s="7"/>
      <c r="I19" s="35">
        <v>8</v>
      </c>
      <c r="J19" s="39">
        <f>OpenMP!Q180</f>
        <v>4076102.2666666666</v>
      </c>
      <c r="K19" s="39">
        <f>OpenMP!R180</f>
        <v>4802868.8</v>
      </c>
      <c r="L19" s="32">
        <f>OpenMP!S180</f>
        <v>1940096.3333333333</v>
      </c>
      <c r="M19" s="32">
        <f>OpenMP!T180</f>
        <v>4957719</v>
      </c>
      <c r="N19" s="7"/>
    </row>
    <row r="20" spans="2:14" ht="15.75" thickBot="1">
      <c r="B20" s="34">
        <v>10</v>
      </c>
      <c r="C20" s="46">
        <f>OpenMP!V144</f>
        <v>1053042.9333333333</v>
      </c>
      <c r="D20" s="46">
        <f>OpenMP!W144</f>
        <v>1058403.3333333333</v>
      </c>
      <c r="E20" s="46">
        <f>OpenMP!X144</f>
        <v>396629.96666666667</v>
      </c>
      <c r="F20" s="48">
        <f>OpenMP!Y144</f>
        <v>1041796.3</v>
      </c>
      <c r="G20" s="7"/>
      <c r="I20" s="36">
        <v>10</v>
      </c>
      <c r="J20" s="46">
        <f>OpenMP!V180</f>
        <v>4365250</v>
      </c>
      <c r="K20" s="46">
        <f>OpenMP!W180</f>
        <v>4796286.1333333338</v>
      </c>
      <c r="L20" s="46">
        <f>OpenMP!X180</f>
        <v>1796019.8666666667</v>
      </c>
      <c r="M20" s="48">
        <f>OpenMP!Y180</f>
        <v>4913438.4000000004</v>
      </c>
      <c r="N20" s="7"/>
    </row>
    <row r="21" spans="2:14" ht="16.5" customHeight="1">
      <c r="B21" s="49"/>
      <c r="C21" s="7"/>
      <c r="D21" s="7"/>
      <c r="E21" s="7"/>
      <c r="F21" s="7"/>
      <c r="G21" s="7"/>
      <c r="I21" s="49"/>
      <c r="J21" s="7"/>
      <c r="K21" s="7"/>
      <c r="L21" s="7"/>
      <c r="M21" s="7"/>
      <c r="N21" s="7"/>
    </row>
    <row r="30" spans="2:14" ht="44.1" customHeight="1"/>
  </sheetData>
  <mergeCells count="10">
    <mergeCell ref="C14:F14"/>
    <mergeCell ref="J14:M14"/>
    <mergeCell ref="P3:T3"/>
    <mergeCell ref="C4:F4"/>
    <mergeCell ref="J4:M4"/>
    <mergeCell ref="Q4:T4"/>
    <mergeCell ref="B13:F13"/>
    <mergeCell ref="I13:M13"/>
    <mergeCell ref="B3:F3"/>
    <mergeCell ref="I3:M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5076-B0E6-4C2C-A812-00DD655F977C}">
  <dimension ref="A2:AE180"/>
  <sheetViews>
    <sheetView zoomScale="90" zoomScaleNormal="90" workbookViewId="0">
      <selection activeCell="D26" sqref="D26"/>
    </sheetView>
  </sheetViews>
  <sheetFormatPr defaultColWidth="11.42578125" defaultRowHeight="15"/>
  <cols>
    <col min="1" max="1" width="11.42578125" style="4"/>
    <col min="2" max="2" width="25.7109375" style="4" bestFit="1" customWidth="1"/>
    <col min="3" max="3" width="27.7109375" style="4" customWidth="1"/>
    <col min="4" max="4" width="29" style="4" customWidth="1"/>
    <col min="5" max="5" width="23.85546875" style="4" customWidth="1"/>
    <col min="6" max="6" width="9.140625" style="4" bestFit="1" customWidth="1"/>
    <col min="7" max="7" width="25.7109375" style="4" bestFit="1" customWidth="1"/>
    <col min="8" max="8" width="23.28515625" style="4" customWidth="1"/>
    <col min="9" max="9" width="30.140625" style="4" customWidth="1"/>
    <col min="10" max="10" width="20.140625" style="4" customWidth="1"/>
    <col min="11" max="11" width="9.140625" style="4" bestFit="1" customWidth="1"/>
    <col min="12" max="12" width="32.28515625" style="4" customWidth="1"/>
    <col min="13" max="13" width="27.140625" style="4" customWidth="1"/>
    <col min="14" max="14" width="27.5703125" style="4" customWidth="1"/>
    <col min="15" max="15" width="22.85546875" style="4" customWidth="1"/>
    <col min="16" max="16" width="15.5703125" style="4" bestFit="1" customWidth="1"/>
    <col min="17" max="17" width="34.28515625" style="4" customWidth="1"/>
    <col min="18" max="18" width="25.7109375" style="4" customWidth="1"/>
    <col min="19" max="19" width="25.42578125" style="4" customWidth="1"/>
    <col min="20" max="20" width="23.85546875" style="4" customWidth="1"/>
    <col min="21" max="21" width="13.140625" style="4" customWidth="1"/>
    <col min="22" max="22" width="36.7109375" style="4" customWidth="1"/>
    <col min="23" max="23" width="26.7109375" style="4" customWidth="1"/>
    <col min="24" max="24" width="25.42578125" style="4" customWidth="1"/>
    <col min="25" max="25" width="23.28515625" style="4" customWidth="1"/>
    <col min="26" max="26" width="12.140625" style="4" customWidth="1"/>
    <col min="27" max="16375" width="9.140625" style="4" bestFit="1" customWidth="1"/>
    <col min="16376" max="16376" width="11.42578125" style="4" bestFit="1"/>
    <col min="16377" max="16384" width="9.140625" style="4" bestFit="1" customWidth="1"/>
  </cols>
  <sheetData>
    <row r="2" spans="2:31" ht="15.75" thickBot="1"/>
    <row r="3" spans="2:31" s="7" customFormat="1" ht="16.5" customHeight="1" thickBot="1">
      <c r="B3" s="66" t="s">
        <v>39</v>
      </c>
      <c r="C3" s="67"/>
      <c r="D3" s="67"/>
      <c r="E3" s="68"/>
      <c r="G3" s="66" t="s">
        <v>39</v>
      </c>
      <c r="H3" s="67"/>
      <c r="I3" s="67"/>
      <c r="J3" s="68"/>
      <c r="L3" s="66" t="s">
        <v>39</v>
      </c>
      <c r="M3" s="67"/>
      <c r="N3" s="67"/>
      <c r="O3" s="68"/>
      <c r="Q3" s="66" t="s">
        <v>39</v>
      </c>
      <c r="R3" s="67"/>
      <c r="S3" s="67"/>
      <c r="T3" s="68"/>
      <c r="V3" s="66" t="s">
        <v>39</v>
      </c>
      <c r="W3" s="67"/>
      <c r="X3" s="67"/>
      <c r="Y3" s="68"/>
      <c r="AA3" s="20"/>
      <c r="AB3" s="20"/>
      <c r="AC3" s="20"/>
      <c r="AD3" s="20"/>
      <c r="AE3" s="20"/>
    </row>
    <row r="4" spans="2:31" s="7" customFormat="1" ht="13.5" customHeight="1" thickBot="1">
      <c r="B4" s="63" t="s">
        <v>1</v>
      </c>
      <c r="C4" s="64"/>
      <c r="D4" s="64"/>
      <c r="E4" s="65"/>
      <c r="G4" s="59" t="s">
        <v>2</v>
      </c>
      <c r="H4" s="59"/>
      <c r="I4" s="59"/>
      <c r="J4" s="59"/>
      <c r="L4" s="59" t="s">
        <v>3</v>
      </c>
      <c r="M4" s="59"/>
      <c r="N4" s="59"/>
      <c r="O4" s="59"/>
      <c r="Q4" s="59" t="s">
        <v>4</v>
      </c>
      <c r="R4" s="59"/>
      <c r="S4" s="59"/>
      <c r="T4" s="59"/>
      <c r="V4" s="59" t="s">
        <v>5</v>
      </c>
      <c r="W4" s="59"/>
      <c r="X4" s="59"/>
      <c r="Y4" s="59"/>
      <c r="AA4" s="21"/>
      <c r="AB4" s="21"/>
      <c r="AC4" s="21"/>
      <c r="AD4" s="21"/>
      <c r="AE4" s="21"/>
    </row>
    <row r="5" spans="2:31" s="7" customFormat="1" ht="45" customHeight="1" thickBot="1">
      <c r="B5" s="28" t="s">
        <v>6</v>
      </c>
      <c r="C5" s="44" t="s">
        <v>7</v>
      </c>
      <c r="D5" s="43" t="s">
        <v>8</v>
      </c>
      <c r="E5" s="43" t="s">
        <v>9</v>
      </c>
      <c r="G5" s="28" t="s">
        <v>6</v>
      </c>
      <c r="H5" s="44" t="s">
        <v>7</v>
      </c>
      <c r="I5" s="43" t="s">
        <v>8</v>
      </c>
      <c r="J5" s="43" t="s">
        <v>9</v>
      </c>
      <c r="L5" s="28" t="s">
        <v>6</v>
      </c>
      <c r="M5" s="44" t="s">
        <v>7</v>
      </c>
      <c r="N5" s="43" t="s">
        <v>8</v>
      </c>
      <c r="O5" s="43" t="s">
        <v>9</v>
      </c>
      <c r="Q5" s="28" t="s">
        <v>6</v>
      </c>
      <c r="R5" s="44" t="s">
        <v>7</v>
      </c>
      <c r="S5" s="43" t="s">
        <v>8</v>
      </c>
      <c r="T5" s="43" t="s">
        <v>9</v>
      </c>
      <c r="V5" s="28" t="s">
        <v>6</v>
      </c>
      <c r="W5" s="44" t="s">
        <v>7</v>
      </c>
      <c r="X5" s="43" t="s">
        <v>8</v>
      </c>
      <c r="Y5" s="43" t="s">
        <v>9</v>
      </c>
    </row>
    <row r="6" spans="2:31">
      <c r="B6" s="1">
        <v>871</v>
      </c>
      <c r="C6" s="1">
        <v>24344</v>
      </c>
      <c r="D6" s="1">
        <v>496</v>
      </c>
      <c r="E6" s="1">
        <v>17529</v>
      </c>
      <c r="F6" s="2"/>
      <c r="G6" s="1">
        <v>991</v>
      </c>
      <c r="H6" s="1">
        <v>1865</v>
      </c>
      <c r="I6" s="1">
        <v>330</v>
      </c>
      <c r="J6" s="1">
        <v>1391</v>
      </c>
      <c r="K6" s="2"/>
      <c r="L6" s="1">
        <v>726</v>
      </c>
      <c r="M6" s="14">
        <v>1237</v>
      </c>
      <c r="N6" s="17">
        <v>339</v>
      </c>
      <c r="O6" s="18">
        <v>1130</v>
      </c>
      <c r="P6" s="2"/>
      <c r="Q6" s="1">
        <v>512</v>
      </c>
      <c r="R6" s="1">
        <v>1272</v>
      </c>
      <c r="S6" s="1">
        <v>513</v>
      </c>
      <c r="T6" s="1">
        <v>2316</v>
      </c>
      <c r="U6" s="2"/>
      <c r="V6" s="9">
        <v>599</v>
      </c>
      <c r="W6" s="9">
        <v>1066</v>
      </c>
      <c r="X6" s="9">
        <v>643</v>
      </c>
      <c r="Y6" s="9">
        <v>2560</v>
      </c>
      <c r="Z6" s="7"/>
    </row>
    <row r="7" spans="2:31">
      <c r="B7" s="1">
        <v>1660</v>
      </c>
      <c r="C7" s="1">
        <v>926</v>
      </c>
      <c r="D7" s="1">
        <v>427</v>
      </c>
      <c r="E7" s="1">
        <v>1865</v>
      </c>
      <c r="F7" s="2"/>
      <c r="G7" s="1">
        <v>549</v>
      </c>
      <c r="H7" s="1">
        <v>1217</v>
      </c>
      <c r="I7" s="1">
        <v>313</v>
      </c>
      <c r="J7" s="1">
        <v>838</v>
      </c>
      <c r="K7" s="2"/>
      <c r="L7" s="1">
        <v>530</v>
      </c>
      <c r="M7" s="14">
        <v>2647</v>
      </c>
      <c r="N7" s="17">
        <v>328</v>
      </c>
      <c r="O7" s="18">
        <v>698</v>
      </c>
      <c r="P7" s="2"/>
      <c r="Q7" s="1">
        <v>689</v>
      </c>
      <c r="R7" s="1">
        <v>1333</v>
      </c>
      <c r="S7" s="1">
        <v>484</v>
      </c>
      <c r="T7" s="1">
        <v>1978</v>
      </c>
      <c r="U7" s="2"/>
      <c r="V7" s="9">
        <v>658</v>
      </c>
      <c r="W7" s="9">
        <v>1235</v>
      </c>
      <c r="X7" s="9">
        <v>593</v>
      </c>
      <c r="Y7" s="9">
        <v>2197</v>
      </c>
      <c r="Z7" s="7"/>
    </row>
    <row r="8" spans="2:31">
      <c r="B8" s="1">
        <v>1039</v>
      </c>
      <c r="C8" s="1">
        <v>1041</v>
      </c>
      <c r="D8" s="1">
        <v>450</v>
      </c>
      <c r="E8" s="1">
        <v>1206</v>
      </c>
      <c r="F8" s="2"/>
      <c r="G8" s="1">
        <v>562</v>
      </c>
      <c r="H8" s="1">
        <v>1326</v>
      </c>
      <c r="I8" s="1">
        <v>309</v>
      </c>
      <c r="J8" s="1">
        <v>944</v>
      </c>
      <c r="K8" s="2"/>
      <c r="L8" s="1">
        <v>1106</v>
      </c>
      <c r="M8" s="1">
        <v>1253</v>
      </c>
      <c r="N8" s="16">
        <v>312</v>
      </c>
      <c r="O8" s="16">
        <v>1549</v>
      </c>
      <c r="P8" s="2"/>
      <c r="Q8" s="1">
        <v>585</v>
      </c>
      <c r="R8" s="1">
        <v>1318</v>
      </c>
      <c r="S8" s="1">
        <v>450</v>
      </c>
      <c r="T8" s="1">
        <v>1991</v>
      </c>
      <c r="U8" s="2"/>
      <c r="V8" s="9">
        <v>650</v>
      </c>
      <c r="W8" s="9">
        <v>1169</v>
      </c>
      <c r="X8" s="9">
        <v>586</v>
      </c>
      <c r="Y8" s="9">
        <v>1976</v>
      </c>
      <c r="Z8" s="7"/>
    </row>
    <row r="9" spans="2:31">
      <c r="B9" s="1">
        <v>788</v>
      </c>
      <c r="C9" s="1">
        <v>1139</v>
      </c>
      <c r="D9" s="1">
        <v>483</v>
      </c>
      <c r="E9" s="1">
        <v>1050</v>
      </c>
      <c r="F9" s="2"/>
      <c r="G9" s="1">
        <v>591</v>
      </c>
      <c r="H9" s="1">
        <v>1298</v>
      </c>
      <c r="I9" s="1">
        <v>312</v>
      </c>
      <c r="J9" s="1">
        <v>1075</v>
      </c>
      <c r="K9" s="2"/>
      <c r="L9" s="1">
        <v>485</v>
      </c>
      <c r="M9" s="1">
        <v>919</v>
      </c>
      <c r="N9" s="14">
        <v>304</v>
      </c>
      <c r="O9" s="14">
        <v>1092</v>
      </c>
      <c r="P9" s="2"/>
      <c r="Q9" s="1">
        <v>616</v>
      </c>
      <c r="R9" s="1">
        <v>1175</v>
      </c>
      <c r="S9" s="1">
        <v>478</v>
      </c>
      <c r="T9" s="1">
        <v>2030</v>
      </c>
      <c r="U9" s="2"/>
      <c r="V9" s="9">
        <v>588</v>
      </c>
      <c r="W9" s="9">
        <v>1180</v>
      </c>
      <c r="X9" s="9">
        <v>535</v>
      </c>
      <c r="Y9" s="9">
        <v>2068</v>
      </c>
      <c r="Z9" s="7"/>
    </row>
    <row r="10" spans="2:31">
      <c r="B10" s="1">
        <v>735</v>
      </c>
      <c r="C10" s="1">
        <v>1064</v>
      </c>
      <c r="D10" s="1">
        <v>451</v>
      </c>
      <c r="E10" s="1">
        <v>1566</v>
      </c>
      <c r="F10" s="2"/>
      <c r="G10" s="1">
        <v>573</v>
      </c>
      <c r="H10" s="1">
        <v>1046</v>
      </c>
      <c r="I10" s="1">
        <v>385</v>
      </c>
      <c r="J10" s="1">
        <v>1004</v>
      </c>
      <c r="K10" s="2"/>
      <c r="L10" s="1">
        <v>516</v>
      </c>
      <c r="M10" s="1">
        <v>947</v>
      </c>
      <c r="N10" s="14">
        <v>334</v>
      </c>
      <c r="O10" s="14">
        <v>1400</v>
      </c>
      <c r="P10" s="2"/>
      <c r="Q10" s="1">
        <v>652</v>
      </c>
      <c r="R10" s="1">
        <v>1340</v>
      </c>
      <c r="S10" s="1">
        <v>475</v>
      </c>
      <c r="T10" s="1">
        <v>2382</v>
      </c>
      <c r="U10" s="2"/>
      <c r="V10" s="9">
        <v>493</v>
      </c>
      <c r="W10" s="9">
        <v>1163</v>
      </c>
      <c r="X10" s="9">
        <v>568</v>
      </c>
      <c r="Y10" s="9">
        <v>2166</v>
      </c>
      <c r="Z10" s="7"/>
    </row>
    <row r="11" spans="2:31">
      <c r="B11" s="1">
        <v>779</v>
      </c>
      <c r="C11" s="1">
        <v>883</v>
      </c>
      <c r="D11" s="1">
        <v>442</v>
      </c>
      <c r="E11" s="1">
        <v>1561</v>
      </c>
      <c r="F11" s="2"/>
      <c r="G11" s="1">
        <v>538</v>
      </c>
      <c r="H11" s="1">
        <v>1197</v>
      </c>
      <c r="I11" s="1">
        <v>317</v>
      </c>
      <c r="J11" s="1">
        <v>1026</v>
      </c>
      <c r="K11" s="2"/>
      <c r="L11" s="1">
        <v>962</v>
      </c>
      <c r="M11" s="1">
        <v>904</v>
      </c>
      <c r="N11" s="14">
        <v>318</v>
      </c>
      <c r="O11" s="14">
        <v>1071</v>
      </c>
      <c r="P11" s="2"/>
      <c r="Q11" s="1">
        <v>729</v>
      </c>
      <c r="R11" s="1">
        <v>1159</v>
      </c>
      <c r="S11" s="1">
        <v>471</v>
      </c>
      <c r="T11" s="1">
        <v>1827</v>
      </c>
      <c r="U11" s="2"/>
      <c r="V11" s="9">
        <v>1053</v>
      </c>
      <c r="W11" s="9">
        <v>1265</v>
      </c>
      <c r="X11" s="9">
        <v>783</v>
      </c>
      <c r="Y11" s="9">
        <v>1674</v>
      </c>
      <c r="Z11" s="7"/>
    </row>
    <row r="12" spans="2:31">
      <c r="B12" s="1">
        <v>760</v>
      </c>
      <c r="C12" s="1">
        <v>1101</v>
      </c>
      <c r="D12" s="1">
        <v>443</v>
      </c>
      <c r="E12" s="1">
        <v>1535</v>
      </c>
      <c r="F12" s="2"/>
      <c r="G12" s="1">
        <v>537</v>
      </c>
      <c r="H12" s="1">
        <v>893</v>
      </c>
      <c r="I12" s="1">
        <v>308</v>
      </c>
      <c r="J12" s="1">
        <v>1199</v>
      </c>
      <c r="K12" s="2"/>
      <c r="L12" s="1">
        <v>530</v>
      </c>
      <c r="M12" s="1">
        <v>888</v>
      </c>
      <c r="N12" s="14">
        <v>310</v>
      </c>
      <c r="O12" s="14">
        <v>1064</v>
      </c>
      <c r="P12" s="2"/>
      <c r="Q12" s="1">
        <v>887</v>
      </c>
      <c r="R12" s="1">
        <v>1081</v>
      </c>
      <c r="S12" s="1">
        <v>497</v>
      </c>
      <c r="T12" s="1">
        <v>2360</v>
      </c>
      <c r="U12" s="2"/>
      <c r="V12" s="9">
        <v>966</v>
      </c>
      <c r="W12" s="9">
        <v>1198</v>
      </c>
      <c r="X12" s="9">
        <v>626</v>
      </c>
      <c r="Y12" s="9">
        <v>2272</v>
      </c>
      <c r="Z12" s="7"/>
    </row>
    <row r="13" spans="2:31">
      <c r="B13" s="1">
        <v>868</v>
      </c>
      <c r="C13" s="1">
        <v>1066</v>
      </c>
      <c r="D13" s="1">
        <v>453</v>
      </c>
      <c r="E13" s="1">
        <v>1643</v>
      </c>
      <c r="F13" s="2"/>
      <c r="G13" s="1">
        <v>453</v>
      </c>
      <c r="H13" s="1">
        <v>1008</v>
      </c>
      <c r="I13" s="1">
        <v>312</v>
      </c>
      <c r="J13" s="1">
        <v>759</v>
      </c>
      <c r="K13" s="2"/>
      <c r="L13" s="1">
        <v>438</v>
      </c>
      <c r="M13" s="1">
        <v>1205</v>
      </c>
      <c r="N13" s="14">
        <v>323</v>
      </c>
      <c r="O13" s="14">
        <v>1525</v>
      </c>
      <c r="P13" s="2"/>
      <c r="Q13" s="1">
        <v>622</v>
      </c>
      <c r="R13" s="1">
        <v>1133</v>
      </c>
      <c r="S13" s="1">
        <v>567</v>
      </c>
      <c r="T13" s="1">
        <v>1354</v>
      </c>
      <c r="U13" s="2"/>
      <c r="V13" s="9">
        <v>743</v>
      </c>
      <c r="W13" s="9">
        <v>1416</v>
      </c>
      <c r="X13" s="9">
        <v>592</v>
      </c>
      <c r="Y13" s="9">
        <v>1991</v>
      </c>
      <c r="Z13" s="7"/>
    </row>
    <row r="14" spans="2:31">
      <c r="B14" s="1">
        <v>824</v>
      </c>
      <c r="C14" s="1">
        <v>985</v>
      </c>
      <c r="D14" s="1">
        <v>450</v>
      </c>
      <c r="E14" s="1">
        <v>1748</v>
      </c>
      <c r="F14" s="2"/>
      <c r="G14" s="1">
        <v>508</v>
      </c>
      <c r="H14" s="1">
        <v>842</v>
      </c>
      <c r="I14" s="1">
        <v>300</v>
      </c>
      <c r="J14" s="1">
        <v>1098</v>
      </c>
      <c r="K14" s="2"/>
      <c r="L14" s="1">
        <v>536</v>
      </c>
      <c r="M14" s="1">
        <v>913</v>
      </c>
      <c r="N14" s="14">
        <v>320</v>
      </c>
      <c r="O14" s="14">
        <v>1176</v>
      </c>
      <c r="P14" s="2"/>
      <c r="Q14" s="1">
        <v>648</v>
      </c>
      <c r="R14" s="1">
        <v>1203</v>
      </c>
      <c r="S14" s="1">
        <v>488</v>
      </c>
      <c r="T14" s="1">
        <v>1985</v>
      </c>
      <c r="U14" s="2"/>
      <c r="V14" s="9">
        <v>751</v>
      </c>
      <c r="W14" s="9">
        <v>1140</v>
      </c>
      <c r="X14" s="9">
        <v>537</v>
      </c>
      <c r="Y14" s="9">
        <v>2182</v>
      </c>
      <c r="Z14" s="7"/>
    </row>
    <row r="15" spans="2:31">
      <c r="B15" s="1">
        <v>731</v>
      </c>
      <c r="C15" s="1">
        <v>922</v>
      </c>
      <c r="D15" s="1">
        <v>434</v>
      </c>
      <c r="E15" s="1">
        <v>2214</v>
      </c>
      <c r="F15" s="2"/>
      <c r="G15" s="1">
        <v>627</v>
      </c>
      <c r="H15" s="1">
        <v>887</v>
      </c>
      <c r="I15" s="1">
        <v>313</v>
      </c>
      <c r="J15" s="1">
        <v>1177</v>
      </c>
      <c r="K15" s="2"/>
      <c r="L15" s="1">
        <v>640</v>
      </c>
      <c r="M15" s="1">
        <v>1047</v>
      </c>
      <c r="N15" s="14">
        <v>319</v>
      </c>
      <c r="O15" s="14">
        <v>1020</v>
      </c>
      <c r="P15" s="2"/>
      <c r="Q15" s="1">
        <v>598</v>
      </c>
      <c r="R15" s="1">
        <v>1094</v>
      </c>
      <c r="S15" s="1">
        <v>483</v>
      </c>
      <c r="T15" s="1">
        <v>1688</v>
      </c>
      <c r="U15" s="2"/>
      <c r="V15" s="9">
        <v>718</v>
      </c>
      <c r="W15" s="9">
        <v>1176</v>
      </c>
      <c r="X15" s="9">
        <v>548</v>
      </c>
      <c r="Y15" s="9">
        <v>1703</v>
      </c>
      <c r="Z15" s="7"/>
    </row>
    <row r="16" spans="2:31">
      <c r="B16" s="1">
        <v>1471</v>
      </c>
      <c r="C16" s="1">
        <v>930</v>
      </c>
      <c r="D16" s="1">
        <v>473</v>
      </c>
      <c r="E16" s="1">
        <v>1986</v>
      </c>
      <c r="F16" s="2"/>
      <c r="G16" s="1">
        <v>454</v>
      </c>
      <c r="H16" s="1">
        <v>879</v>
      </c>
      <c r="I16" s="1">
        <v>310</v>
      </c>
      <c r="J16" s="1">
        <v>987</v>
      </c>
      <c r="K16" s="2"/>
      <c r="L16" s="1">
        <v>748</v>
      </c>
      <c r="M16" s="1">
        <v>1084</v>
      </c>
      <c r="N16" s="14">
        <v>324</v>
      </c>
      <c r="O16" s="14">
        <v>1161</v>
      </c>
      <c r="P16" s="2"/>
      <c r="Q16" s="1">
        <v>594</v>
      </c>
      <c r="R16" s="1">
        <v>1386</v>
      </c>
      <c r="S16" s="1">
        <v>503</v>
      </c>
      <c r="T16" s="1">
        <v>1544</v>
      </c>
      <c r="U16" s="2"/>
      <c r="V16" s="9">
        <v>608</v>
      </c>
      <c r="W16" s="9">
        <v>1200</v>
      </c>
      <c r="X16" s="9">
        <v>496</v>
      </c>
      <c r="Y16" s="9">
        <v>1660</v>
      </c>
      <c r="Z16" s="7"/>
    </row>
    <row r="17" spans="2:26">
      <c r="B17" s="1">
        <v>1022</v>
      </c>
      <c r="C17" s="1">
        <v>982</v>
      </c>
      <c r="D17" s="1">
        <v>511</v>
      </c>
      <c r="E17" s="1">
        <v>1122</v>
      </c>
      <c r="F17" s="2"/>
      <c r="G17" s="1">
        <v>408</v>
      </c>
      <c r="H17" s="1">
        <v>808</v>
      </c>
      <c r="I17" s="1">
        <v>314</v>
      </c>
      <c r="J17" s="1">
        <v>1134</v>
      </c>
      <c r="K17" s="2"/>
      <c r="L17" s="1">
        <v>430</v>
      </c>
      <c r="M17" s="1">
        <v>1035</v>
      </c>
      <c r="N17" s="14">
        <v>326</v>
      </c>
      <c r="O17" s="14">
        <v>1175</v>
      </c>
      <c r="P17" s="2"/>
      <c r="Q17" s="1">
        <v>725</v>
      </c>
      <c r="R17" s="1">
        <v>1047</v>
      </c>
      <c r="S17" s="1">
        <v>615</v>
      </c>
      <c r="T17" s="1">
        <v>2027</v>
      </c>
      <c r="U17" s="2"/>
      <c r="V17" s="9">
        <v>524</v>
      </c>
      <c r="W17" s="9">
        <v>1226</v>
      </c>
      <c r="X17" s="9">
        <v>500</v>
      </c>
      <c r="Y17" s="9">
        <v>1778</v>
      </c>
      <c r="Z17" s="7"/>
    </row>
    <row r="18" spans="2:26">
      <c r="B18" s="1">
        <v>1174</v>
      </c>
      <c r="C18" s="1">
        <v>1261</v>
      </c>
      <c r="D18" s="1">
        <v>473</v>
      </c>
      <c r="E18" s="1">
        <v>872</v>
      </c>
      <c r="F18" s="2"/>
      <c r="G18" s="1">
        <v>501</v>
      </c>
      <c r="H18" s="1">
        <v>859</v>
      </c>
      <c r="I18" s="1">
        <v>331</v>
      </c>
      <c r="J18" s="1">
        <v>1324</v>
      </c>
      <c r="K18" s="2"/>
      <c r="L18" s="1">
        <v>470</v>
      </c>
      <c r="M18" s="1">
        <v>974</v>
      </c>
      <c r="N18" s="14">
        <v>336</v>
      </c>
      <c r="O18" s="14">
        <v>686</v>
      </c>
      <c r="P18" s="2"/>
      <c r="Q18" s="1">
        <v>784</v>
      </c>
      <c r="R18" s="1">
        <v>1167</v>
      </c>
      <c r="S18" s="1">
        <v>529</v>
      </c>
      <c r="T18" s="1">
        <v>1749</v>
      </c>
      <c r="U18" s="2"/>
      <c r="V18" s="9">
        <v>584</v>
      </c>
      <c r="W18" s="9">
        <v>1084</v>
      </c>
      <c r="X18" s="9">
        <v>645</v>
      </c>
      <c r="Y18" s="9">
        <v>2268</v>
      </c>
      <c r="Z18" s="7"/>
    </row>
    <row r="19" spans="2:26">
      <c r="B19" s="1">
        <v>724</v>
      </c>
      <c r="C19" s="1">
        <v>1047</v>
      </c>
      <c r="D19" s="1">
        <v>454</v>
      </c>
      <c r="E19" s="1">
        <v>1459</v>
      </c>
      <c r="F19" s="2"/>
      <c r="G19" s="1">
        <v>477</v>
      </c>
      <c r="H19" s="1">
        <v>1000</v>
      </c>
      <c r="I19" s="1">
        <v>314</v>
      </c>
      <c r="J19" s="1">
        <v>1244</v>
      </c>
      <c r="K19" s="2"/>
      <c r="L19" s="1">
        <v>495</v>
      </c>
      <c r="M19" s="1">
        <v>997</v>
      </c>
      <c r="N19" s="14">
        <v>316</v>
      </c>
      <c r="O19" s="14">
        <v>987</v>
      </c>
      <c r="P19" s="2"/>
      <c r="Q19" s="1">
        <v>647</v>
      </c>
      <c r="R19" s="1">
        <v>1213</v>
      </c>
      <c r="S19" s="1">
        <v>528</v>
      </c>
      <c r="T19" s="1">
        <v>1501</v>
      </c>
      <c r="U19" s="2"/>
      <c r="V19" s="9">
        <v>667</v>
      </c>
      <c r="W19" s="9">
        <v>1080</v>
      </c>
      <c r="X19" s="9">
        <v>529</v>
      </c>
      <c r="Y19" s="9">
        <v>1761</v>
      </c>
      <c r="Z19" s="7"/>
    </row>
    <row r="20" spans="2:26">
      <c r="B20" s="1">
        <v>680</v>
      </c>
      <c r="C20" s="1">
        <v>971</v>
      </c>
      <c r="D20" s="1">
        <v>449</v>
      </c>
      <c r="E20" s="1">
        <v>826</v>
      </c>
      <c r="F20" s="2"/>
      <c r="G20" s="1">
        <v>496</v>
      </c>
      <c r="H20" s="1">
        <v>965</v>
      </c>
      <c r="I20" s="1">
        <v>313</v>
      </c>
      <c r="J20" s="1">
        <v>1097</v>
      </c>
      <c r="K20" s="2"/>
      <c r="L20" s="1">
        <v>519</v>
      </c>
      <c r="M20" s="1">
        <v>1132</v>
      </c>
      <c r="N20" s="14">
        <v>348</v>
      </c>
      <c r="O20" s="14">
        <v>1865</v>
      </c>
      <c r="P20" s="2"/>
      <c r="Q20" s="1">
        <v>649</v>
      </c>
      <c r="R20" s="1">
        <v>1140</v>
      </c>
      <c r="S20" s="1">
        <v>476</v>
      </c>
      <c r="T20" s="1">
        <v>1405</v>
      </c>
      <c r="U20" s="2"/>
      <c r="V20" s="9">
        <v>673</v>
      </c>
      <c r="W20" s="9">
        <v>1105</v>
      </c>
      <c r="X20" s="9">
        <v>533</v>
      </c>
      <c r="Y20" s="9">
        <v>1434</v>
      </c>
      <c r="Z20" s="7"/>
    </row>
    <row r="21" spans="2:26">
      <c r="B21" s="1">
        <v>760</v>
      </c>
      <c r="C21" s="1">
        <v>901</v>
      </c>
      <c r="D21" s="1">
        <v>486</v>
      </c>
      <c r="E21" s="1">
        <v>1099</v>
      </c>
      <c r="F21" s="2"/>
      <c r="G21" s="1">
        <v>521</v>
      </c>
      <c r="H21" s="1">
        <v>839</v>
      </c>
      <c r="I21" s="1">
        <v>305</v>
      </c>
      <c r="J21" s="1">
        <v>694</v>
      </c>
      <c r="K21" s="2"/>
      <c r="L21" s="1">
        <v>591</v>
      </c>
      <c r="M21" s="1">
        <v>1165</v>
      </c>
      <c r="N21" s="14">
        <v>311</v>
      </c>
      <c r="O21" s="14">
        <v>1153</v>
      </c>
      <c r="P21" s="2"/>
      <c r="Q21" s="1">
        <v>632</v>
      </c>
      <c r="R21" s="1">
        <v>1429</v>
      </c>
      <c r="S21" s="1">
        <v>490</v>
      </c>
      <c r="T21" s="1">
        <v>1773</v>
      </c>
      <c r="U21" s="2"/>
      <c r="V21" s="9">
        <v>560</v>
      </c>
      <c r="W21" s="9">
        <v>1139</v>
      </c>
      <c r="X21" s="9">
        <v>572</v>
      </c>
      <c r="Y21" s="9">
        <v>2054</v>
      </c>
      <c r="Z21" s="7"/>
    </row>
    <row r="22" spans="2:26">
      <c r="B22" s="1">
        <v>726</v>
      </c>
      <c r="C22" s="1">
        <v>892</v>
      </c>
      <c r="D22" s="1">
        <v>425</v>
      </c>
      <c r="E22" s="1">
        <v>994</v>
      </c>
      <c r="F22" s="2"/>
      <c r="G22" s="1">
        <v>499</v>
      </c>
      <c r="H22" s="1">
        <v>829</v>
      </c>
      <c r="I22" s="1">
        <v>321</v>
      </c>
      <c r="J22" s="1">
        <v>1903</v>
      </c>
      <c r="K22" s="2"/>
      <c r="L22" s="1">
        <v>506</v>
      </c>
      <c r="M22" s="1">
        <v>1325</v>
      </c>
      <c r="N22" s="14">
        <v>328</v>
      </c>
      <c r="O22" s="14">
        <v>919</v>
      </c>
      <c r="P22" s="2"/>
      <c r="Q22" s="1">
        <v>615</v>
      </c>
      <c r="R22" s="1">
        <v>1369</v>
      </c>
      <c r="S22" s="1">
        <v>495</v>
      </c>
      <c r="T22" s="1">
        <v>1342</v>
      </c>
      <c r="U22" s="2"/>
      <c r="V22" s="9">
        <v>689</v>
      </c>
      <c r="W22" s="9">
        <v>1269</v>
      </c>
      <c r="X22" s="9">
        <v>590</v>
      </c>
      <c r="Y22" s="9">
        <v>2222</v>
      </c>
      <c r="Z22" s="7"/>
    </row>
    <row r="23" spans="2:26">
      <c r="B23" s="1">
        <v>2507</v>
      </c>
      <c r="C23" s="1">
        <v>879</v>
      </c>
      <c r="D23" s="1">
        <v>412</v>
      </c>
      <c r="E23" s="1">
        <v>1239</v>
      </c>
      <c r="F23" s="2"/>
      <c r="G23" s="1">
        <v>1106</v>
      </c>
      <c r="H23" s="1">
        <v>960</v>
      </c>
      <c r="I23" s="1">
        <v>307</v>
      </c>
      <c r="J23" s="1">
        <v>1062</v>
      </c>
      <c r="K23" s="2"/>
      <c r="L23" s="1">
        <v>745</v>
      </c>
      <c r="M23" s="1">
        <v>1380</v>
      </c>
      <c r="N23" s="14">
        <v>301</v>
      </c>
      <c r="O23" s="14">
        <v>1360</v>
      </c>
      <c r="P23" s="2"/>
      <c r="Q23" s="1">
        <v>625</v>
      </c>
      <c r="R23" s="1">
        <v>1025</v>
      </c>
      <c r="S23" s="1">
        <v>481</v>
      </c>
      <c r="T23" s="1">
        <v>1851</v>
      </c>
      <c r="U23" s="2"/>
      <c r="V23" s="9">
        <v>577</v>
      </c>
      <c r="W23" s="9">
        <v>1150</v>
      </c>
      <c r="X23" s="9">
        <v>604</v>
      </c>
      <c r="Y23" s="9">
        <v>2367</v>
      </c>
      <c r="Z23" s="7"/>
    </row>
    <row r="24" spans="2:26">
      <c r="B24" s="1">
        <v>2303</v>
      </c>
      <c r="C24" s="1">
        <v>861</v>
      </c>
      <c r="D24" s="1">
        <v>406</v>
      </c>
      <c r="E24" s="1">
        <v>1484</v>
      </c>
      <c r="F24" s="2"/>
      <c r="G24" s="1">
        <v>747</v>
      </c>
      <c r="H24" s="1">
        <v>853</v>
      </c>
      <c r="I24" s="1">
        <v>389</v>
      </c>
      <c r="J24" s="1">
        <v>1279</v>
      </c>
      <c r="K24" s="2"/>
      <c r="L24" s="1">
        <v>590</v>
      </c>
      <c r="M24" s="1">
        <v>1458</v>
      </c>
      <c r="N24" s="14">
        <v>308</v>
      </c>
      <c r="O24" s="14">
        <v>1833</v>
      </c>
      <c r="P24" s="2"/>
      <c r="Q24" s="1">
        <v>811</v>
      </c>
      <c r="R24" s="1">
        <v>1088</v>
      </c>
      <c r="S24" s="1">
        <v>490</v>
      </c>
      <c r="T24" s="1">
        <v>1136</v>
      </c>
      <c r="U24" s="2"/>
      <c r="V24" s="9">
        <v>655</v>
      </c>
      <c r="W24" s="9">
        <v>1251</v>
      </c>
      <c r="X24" s="9">
        <v>524</v>
      </c>
      <c r="Y24" s="9">
        <v>1904</v>
      </c>
      <c r="Z24" s="7"/>
    </row>
    <row r="25" spans="2:26">
      <c r="B25" s="1">
        <v>807</v>
      </c>
      <c r="C25" s="1">
        <v>911</v>
      </c>
      <c r="D25" s="1">
        <v>403</v>
      </c>
      <c r="E25" s="1">
        <v>902</v>
      </c>
      <c r="F25" s="2"/>
      <c r="G25" s="1">
        <v>654</v>
      </c>
      <c r="H25" s="1">
        <v>822</v>
      </c>
      <c r="I25" s="1">
        <v>389</v>
      </c>
      <c r="J25" s="1">
        <v>1628</v>
      </c>
      <c r="K25" s="2"/>
      <c r="L25" s="1">
        <v>736</v>
      </c>
      <c r="M25" s="1">
        <v>3304</v>
      </c>
      <c r="N25" s="14">
        <v>293</v>
      </c>
      <c r="O25" s="14">
        <v>1377</v>
      </c>
      <c r="P25" s="2"/>
      <c r="Q25" s="1">
        <v>626</v>
      </c>
      <c r="R25" s="1">
        <v>1247</v>
      </c>
      <c r="S25" s="1">
        <v>468</v>
      </c>
      <c r="T25" s="1">
        <v>1388</v>
      </c>
      <c r="U25" s="2"/>
      <c r="V25" s="9">
        <v>648</v>
      </c>
      <c r="W25" s="9">
        <v>1067</v>
      </c>
      <c r="X25" s="9">
        <v>532</v>
      </c>
      <c r="Y25" s="9">
        <v>1255</v>
      </c>
      <c r="Z25" s="7"/>
    </row>
    <row r="26" spans="2:26">
      <c r="B26" s="1">
        <v>1150</v>
      </c>
      <c r="C26" s="1">
        <v>843</v>
      </c>
      <c r="D26" s="1">
        <v>401</v>
      </c>
      <c r="E26" s="1">
        <v>1914</v>
      </c>
      <c r="F26" s="2"/>
      <c r="G26" s="1">
        <v>751</v>
      </c>
      <c r="H26" s="1">
        <v>890</v>
      </c>
      <c r="I26" s="1">
        <v>350</v>
      </c>
      <c r="J26" s="1">
        <v>859</v>
      </c>
      <c r="K26" s="2"/>
      <c r="L26" s="1">
        <v>654</v>
      </c>
      <c r="M26" s="1">
        <v>1511</v>
      </c>
      <c r="N26" s="14">
        <v>318</v>
      </c>
      <c r="O26" s="14">
        <v>1664</v>
      </c>
      <c r="P26" s="2"/>
      <c r="Q26" s="1">
        <v>574</v>
      </c>
      <c r="R26" s="1">
        <v>1246</v>
      </c>
      <c r="S26" s="1">
        <v>484</v>
      </c>
      <c r="T26" s="1">
        <v>2580</v>
      </c>
      <c r="U26" s="2"/>
      <c r="V26" s="9">
        <v>627</v>
      </c>
      <c r="W26" s="9">
        <v>1062</v>
      </c>
      <c r="X26" s="9">
        <v>549</v>
      </c>
      <c r="Y26" s="9">
        <v>2733</v>
      </c>
      <c r="Z26" s="7"/>
    </row>
    <row r="27" spans="2:26">
      <c r="B27" s="1">
        <v>843</v>
      </c>
      <c r="C27" s="1">
        <v>922</v>
      </c>
      <c r="D27" s="1">
        <v>402</v>
      </c>
      <c r="E27" s="1">
        <v>1544</v>
      </c>
      <c r="F27" s="2"/>
      <c r="G27" s="1">
        <v>526</v>
      </c>
      <c r="H27" s="1">
        <v>802</v>
      </c>
      <c r="I27" s="1">
        <v>361</v>
      </c>
      <c r="J27" s="1">
        <v>997</v>
      </c>
      <c r="K27" s="2"/>
      <c r="L27" s="1">
        <v>558</v>
      </c>
      <c r="M27" s="1">
        <v>3550</v>
      </c>
      <c r="N27" s="14">
        <v>445</v>
      </c>
      <c r="O27" s="14">
        <v>1092</v>
      </c>
      <c r="P27" s="2"/>
      <c r="Q27" s="1">
        <v>513</v>
      </c>
      <c r="R27" s="1">
        <v>1541</v>
      </c>
      <c r="S27" s="1">
        <v>475</v>
      </c>
      <c r="T27" s="1">
        <v>2257</v>
      </c>
      <c r="U27" s="2"/>
      <c r="V27" s="9">
        <v>656</v>
      </c>
      <c r="W27" s="9">
        <v>1259</v>
      </c>
      <c r="X27" s="9">
        <v>514</v>
      </c>
      <c r="Y27" s="9">
        <v>1661</v>
      </c>
      <c r="Z27" s="7"/>
    </row>
    <row r="28" spans="2:26">
      <c r="B28" s="1">
        <v>1542</v>
      </c>
      <c r="C28" s="1">
        <v>1036</v>
      </c>
      <c r="D28" s="1">
        <v>407</v>
      </c>
      <c r="E28" s="1">
        <v>863</v>
      </c>
      <c r="F28" s="2"/>
      <c r="G28" s="1">
        <v>913</v>
      </c>
      <c r="H28" s="1">
        <v>1120</v>
      </c>
      <c r="I28" s="1">
        <v>362</v>
      </c>
      <c r="J28" s="1">
        <v>1117</v>
      </c>
      <c r="K28" s="2"/>
      <c r="L28" s="1">
        <v>610</v>
      </c>
      <c r="M28" s="1">
        <v>2521</v>
      </c>
      <c r="N28" s="14">
        <v>346</v>
      </c>
      <c r="O28" s="14">
        <v>1133</v>
      </c>
      <c r="P28" s="2"/>
      <c r="Q28" s="1">
        <v>566</v>
      </c>
      <c r="R28" s="1">
        <v>1365</v>
      </c>
      <c r="S28" s="1">
        <v>475</v>
      </c>
      <c r="T28" s="1">
        <v>3013</v>
      </c>
      <c r="U28" s="2"/>
      <c r="V28" s="9">
        <v>549</v>
      </c>
      <c r="W28" s="9">
        <v>1162</v>
      </c>
      <c r="X28" s="9">
        <v>599</v>
      </c>
      <c r="Y28" s="9">
        <v>2032</v>
      </c>
      <c r="Z28" s="7"/>
    </row>
    <row r="29" spans="2:26">
      <c r="B29" s="1">
        <v>2472</v>
      </c>
      <c r="C29" s="1">
        <v>872</v>
      </c>
      <c r="D29" s="1">
        <v>405</v>
      </c>
      <c r="E29" s="1">
        <v>1498</v>
      </c>
      <c r="F29" s="2"/>
      <c r="G29" s="1">
        <v>533</v>
      </c>
      <c r="H29" s="1">
        <v>1194</v>
      </c>
      <c r="I29" s="1">
        <v>390</v>
      </c>
      <c r="J29" s="1">
        <v>1217</v>
      </c>
      <c r="K29" s="2"/>
      <c r="L29" s="1">
        <v>758</v>
      </c>
      <c r="M29" s="1">
        <v>1273</v>
      </c>
      <c r="N29" s="14">
        <v>381</v>
      </c>
      <c r="O29" s="14">
        <v>1418</v>
      </c>
      <c r="P29" s="2"/>
      <c r="Q29" s="1">
        <v>566</v>
      </c>
      <c r="R29" s="1">
        <v>1279</v>
      </c>
      <c r="S29" s="1">
        <v>461</v>
      </c>
      <c r="T29" s="1">
        <v>1814</v>
      </c>
      <c r="U29" s="2"/>
      <c r="V29" s="9">
        <v>685</v>
      </c>
      <c r="W29" s="9">
        <v>1131</v>
      </c>
      <c r="X29" s="9">
        <v>557</v>
      </c>
      <c r="Y29" s="9">
        <v>2915</v>
      </c>
      <c r="Z29" s="7"/>
    </row>
    <row r="30" spans="2:26">
      <c r="B30" s="1">
        <v>750</v>
      </c>
      <c r="C30" s="1">
        <v>923</v>
      </c>
      <c r="D30" s="1">
        <v>450</v>
      </c>
      <c r="E30" s="1">
        <v>2015</v>
      </c>
      <c r="F30" s="2"/>
      <c r="G30" s="1">
        <v>575</v>
      </c>
      <c r="H30" s="1">
        <v>1214</v>
      </c>
      <c r="I30" s="1">
        <v>353</v>
      </c>
      <c r="J30" s="1">
        <v>1421</v>
      </c>
      <c r="K30" s="2"/>
      <c r="L30" s="1">
        <v>494</v>
      </c>
      <c r="M30" s="1">
        <v>2144</v>
      </c>
      <c r="N30" s="14">
        <v>313</v>
      </c>
      <c r="O30" s="14">
        <v>1155</v>
      </c>
      <c r="P30" s="2"/>
      <c r="Q30" s="1">
        <v>622</v>
      </c>
      <c r="R30" s="1">
        <v>1260</v>
      </c>
      <c r="S30" s="1">
        <v>484</v>
      </c>
      <c r="T30" s="1">
        <v>1648</v>
      </c>
      <c r="U30" s="2"/>
      <c r="V30" s="9">
        <v>555</v>
      </c>
      <c r="W30" s="9">
        <v>1231</v>
      </c>
      <c r="X30" s="9">
        <v>526</v>
      </c>
      <c r="Y30" s="9">
        <v>1687</v>
      </c>
      <c r="Z30" s="7"/>
    </row>
    <row r="31" spans="2:26">
      <c r="B31" s="1">
        <v>2242</v>
      </c>
      <c r="C31" s="1">
        <v>894</v>
      </c>
      <c r="D31" s="1">
        <v>403</v>
      </c>
      <c r="E31" s="1">
        <v>979</v>
      </c>
      <c r="F31" s="2"/>
      <c r="G31" s="1">
        <v>671</v>
      </c>
      <c r="H31" s="1">
        <v>1215</v>
      </c>
      <c r="I31" s="1">
        <v>356</v>
      </c>
      <c r="J31" s="1">
        <v>1046</v>
      </c>
      <c r="K31" s="2"/>
      <c r="L31" s="1">
        <v>512</v>
      </c>
      <c r="M31" s="1">
        <v>1341</v>
      </c>
      <c r="N31" s="14">
        <v>330</v>
      </c>
      <c r="O31" s="14">
        <v>1065</v>
      </c>
      <c r="P31" s="2"/>
      <c r="Q31" s="1">
        <v>559</v>
      </c>
      <c r="R31" s="1">
        <v>1281</v>
      </c>
      <c r="S31" s="1">
        <v>477</v>
      </c>
      <c r="T31" s="1">
        <v>1853</v>
      </c>
      <c r="U31" s="2"/>
      <c r="V31" s="9">
        <v>578</v>
      </c>
      <c r="W31" s="9">
        <v>1184</v>
      </c>
      <c r="X31" s="9">
        <v>526</v>
      </c>
      <c r="Y31" s="9">
        <v>2366</v>
      </c>
      <c r="Z31" s="7"/>
    </row>
    <row r="32" spans="2:26">
      <c r="B32" s="1">
        <v>1218</v>
      </c>
      <c r="C32" s="1">
        <v>1150</v>
      </c>
      <c r="D32" s="1">
        <v>426</v>
      </c>
      <c r="E32" s="1">
        <v>1124</v>
      </c>
      <c r="F32" s="2"/>
      <c r="G32" s="1">
        <v>673</v>
      </c>
      <c r="H32" s="1">
        <v>1518</v>
      </c>
      <c r="I32" s="1">
        <v>356</v>
      </c>
      <c r="J32" s="1">
        <v>1184</v>
      </c>
      <c r="K32" s="2"/>
      <c r="L32" s="1">
        <v>422</v>
      </c>
      <c r="M32" s="1">
        <v>1396</v>
      </c>
      <c r="N32" s="14">
        <v>330</v>
      </c>
      <c r="O32" s="14">
        <v>1306</v>
      </c>
      <c r="P32" s="2"/>
      <c r="Q32" s="1">
        <v>801</v>
      </c>
      <c r="R32" s="1">
        <v>1132</v>
      </c>
      <c r="S32" s="1">
        <v>472</v>
      </c>
      <c r="T32" s="1">
        <v>1500</v>
      </c>
      <c r="U32" s="2"/>
      <c r="V32" s="9">
        <v>679</v>
      </c>
      <c r="W32" s="9">
        <v>1121</v>
      </c>
      <c r="X32" s="9">
        <v>540</v>
      </c>
      <c r="Y32" s="9">
        <v>1968</v>
      </c>
      <c r="Z32" s="7"/>
    </row>
    <row r="33" spans="1:31">
      <c r="B33" s="1">
        <v>1094</v>
      </c>
      <c r="C33" s="1">
        <v>1100</v>
      </c>
      <c r="D33" s="1">
        <v>404</v>
      </c>
      <c r="E33" s="1">
        <v>1256</v>
      </c>
      <c r="F33" s="2"/>
      <c r="G33" s="1">
        <v>622</v>
      </c>
      <c r="H33" s="1">
        <v>971</v>
      </c>
      <c r="I33" s="1">
        <v>381</v>
      </c>
      <c r="J33" s="1">
        <v>1141</v>
      </c>
      <c r="K33" s="2"/>
      <c r="L33" s="1">
        <v>567</v>
      </c>
      <c r="M33" s="1">
        <v>1327</v>
      </c>
      <c r="N33" s="14">
        <v>332</v>
      </c>
      <c r="O33" s="14">
        <v>1085</v>
      </c>
      <c r="P33" s="2"/>
      <c r="Q33" s="1">
        <v>599</v>
      </c>
      <c r="R33" s="1">
        <v>1434</v>
      </c>
      <c r="S33" s="1">
        <v>491</v>
      </c>
      <c r="T33" s="1">
        <v>2344</v>
      </c>
      <c r="U33" s="2"/>
      <c r="V33" s="9">
        <v>543</v>
      </c>
      <c r="W33" s="9">
        <v>1238</v>
      </c>
      <c r="X33" s="9">
        <v>540</v>
      </c>
      <c r="Y33" s="9">
        <v>1421</v>
      </c>
      <c r="Z33" s="7"/>
    </row>
    <row r="34" spans="1:31">
      <c r="B34" s="1">
        <v>818</v>
      </c>
      <c r="C34" s="1">
        <v>1250</v>
      </c>
      <c r="D34" s="1">
        <v>414</v>
      </c>
      <c r="E34" s="1">
        <v>1830</v>
      </c>
      <c r="F34" s="2"/>
      <c r="G34" s="1">
        <v>592</v>
      </c>
      <c r="H34" s="1">
        <v>1182</v>
      </c>
      <c r="I34" s="1">
        <v>348</v>
      </c>
      <c r="J34" s="1">
        <v>1445</v>
      </c>
      <c r="K34" s="2"/>
      <c r="L34" s="1">
        <v>393</v>
      </c>
      <c r="M34" s="1">
        <v>1296</v>
      </c>
      <c r="N34" s="14">
        <v>309</v>
      </c>
      <c r="O34" s="14">
        <v>1221</v>
      </c>
      <c r="P34" s="2"/>
      <c r="Q34" s="1">
        <v>603</v>
      </c>
      <c r="R34" s="1">
        <v>1506</v>
      </c>
      <c r="S34" s="1">
        <v>513</v>
      </c>
      <c r="T34" s="1">
        <v>1965</v>
      </c>
      <c r="U34" s="2"/>
      <c r="V34" s="9">
        <v>650</v>
      </c>
      <c r="W34" s="9">
        <v>1357</v>
      </c>
      <c r="X34" s="9">
        <v>526</v>
      </c>
      <c r="Y34" s="9">
        <v>1423</v>
      </c>
      <c r="Z34" s="7"/>
    </row>
    <row r="35" spans="1:31">
      <c r="B35" s="1">
        <v>753</v>
      </c>
      <c r="C35" s="1">
        <v>2244</v>
      </c>
      <c r="D35" s="1">
        <v>401</v>
      </c>
      <c r="E35" s="1">
        <v>1325</v>
      </c>
      <c r="F35" s="2"/>
      <c r="G35" s="1">
        <v>568</v>
      </c>
      <c r="H35" s="1">
        <v>902</v>
      </c>
      <c r="I35" s="1">
        <v>363</v>
      </c>
      <c r="J35" s="1">
        <v>703</v>
      </c>
      <c r="K35" s="2"/>
      <c r="L35" s="1">
        <v>392</v>
      </c>
      <c r="M35" s="1">
        <v>1249</v>
      </c>
      <c r="N35" s="14">
        <v>321</v>
      </c>
      <c r="O35" s="24">
        <v>1150</v>
      </c>
      <c r="P35" s="2"/>
      <c r="Q35" s="1">
        <v>695</v>
      </c>
      <c r="R35" s="1">
        <v>1586</v>
      </c>
      <c r="S35" s="1">
        <v>465</v>
      </c>
      <c r="T35" s="1">
        <v>1268</v>
      </c>
      <c r="U35" s="2"/>
      <c r="V35" s="9">
        <v>1218</v>
      </c>
      <c r="W35" s="9">
        <v>1144</v>
      </c>
      <c r="X35" s="9">
        <v>658</v>
      </c>
      <c r="Y35" s="9">
        <v>1902</v>
      </c>
      <c r="Z35" s="7"/>
    </row>
    <row r="36" spans="1:31">
      <c r="A36" s="6" t="s">
        <v>10</v>
      </c>
      <c r="B36" s="3">
        <f>AVERAGE(B6:B35)</f>
        <v>1137.0333333333333</v>
      </c>
      <c r="C36" s="3">
        <f>AVERAGE(C6:C35)</f>
        <v>1811.3333333333333</v>
      </c>
      <c r="D36" s="3">
        <f>AVERAGE(D6:D35)</f>
        <v>437.8</v>
      </c>
      <c r="E36" s="3">
        <f>AVERAGE(E6:E35)</f>
        <v>1941.6</v>
      </c>
      <c r="F36" s="2"/>
      <c r="G36" s="3">
        <f>AVERAGE(G6:G35)</f>
        <v>607.20000000000005</v>
      </c>
      <c r="H36" s="3">
        <f>AVERAGE(H6:H35)</f>
        <v>1046.7</v>
      </c>
      <c r="I36" s="3">
        <v>168</v>
      </c>
      <c r="J36" s="3">
        <f>AVERAGE(J6:J35)</f>
        <v>1133.0999999999999</v>
      </c>
      <c r="K36" s="2"/>
      <c r="L36" s="3">
        <f>AVERAGE(L6:L35)</f>
        <v>588.63333333333333</v>
      </c>
      <c r="M36" s="3">
        <f>AVERAGE(M6:M35)</f>
        <v>1447.4</v>
      </c>
      <c r="N36" s="15">
        <v>229</v>
      </c>
      <c r="O36" s="15">
        <f>AVERAGE(O6:O35)</f>
        <v>1217.6666666666667</v>
      </c>
      <c r="P36" s="2"/>
      <c r="Q36" s="3">
        <f>AVERAGE(Q6:Q35)</f>
        <v>644.79999999999995</v>
      </c>
      <c r="R36" s="3">
        <f>AVERAGE(R6:R35)</f>
        <v>1261.6333333333334</v>
      </c>
      <c r="S36" s="3">
        <v>448</v>
      </c>
      <c r="T36" s="3">
        <f>AVERAGE(T6:T35)</f>
        <v>1862.3</v>
      </c>
      <c r="U36" s="2"/>
      <c r="V36" s="11">
        <f>AVERAGE(V6:V35)</f>
        <v>671.4666666666667</v>
      </c>
      <c r="W36" s="11">
        <f>AVERAGE(W6:W35)</f>
        <v>1182.2666666666667</v>
      </c>
      <c r="X36" s="11">
        <v>430</v>
      </c>
      <c r="Y36" s="11">
        <f>AVERAGE(Y6:Y35)</f>
        <v>1986.6666666666667</v>
      </c>
      <c r="Z36" s="7"/>
    </row>
    <row r="37" spans="1:31">
      <c r="V37" s="7"/>
      <c r="W37" s="7"/>
      <c r="X37" s="7"/>
      <c r="Y37" s="7"/>
      <c r="Z37" s="7"/>
    </row>
    <row r="38" spans="1:31" ht="15.75" thickBot="1">
      <c r="V38" s="7"/>
      <c r="W38" s="7"/>
      <c r="X38" s="7"/>
      <c r="Y38" s="7"/>
      <c r="Z38" s="7"/>
    </row>
    <row r="39" spans="1:31" s="7" customFormat="1" ht="16.5" customHeight="1" thickBot="1">
      <c r="B39" s="66" t="s">
        <v>39</v>
      </c>
      <c r="C39" s="67"/>
      <c r="D39" s="67"/>
      <c r="E39" s="68"/>
      <c r="G39" s="66" t="s">
        <v>39</v>
      </c>
      <c r="H39" s="67"/>
      <c r="I39" s="67"/>
      <c r="J39" s="68"/>
      <c r="L39" s="66" t="s">
        <v>39</v>
      </c>
      <c r="M39" s="67"/>
      <c r="N39" s="67"/>
      <c r="O39" s="68"/>
      <c r="Q39" s="66" t="s">
        <v>39</v>
      </c>
      <c r="R39" s="67"/>
      <c r="S39" s="67"/>
      <c r="T39" s="68"/>
      <c r="V39" s="66" t="s">
        <v>39</v>
      </c>
      <c r="W39" s="67"/>
      <c r="X39" s="67"/>
      <c r="Y39" s="68"/>
      <c r="AA39" s="20"/>
      <c r="AB39" s="20"/>
      <c r="AC39" s="20"/>
      <c r="AD39" s="20"/>
      <c r="AE39" s="20"/>
    </row>
    <row r="40" spans="1:31" s="7" customFormat="1" ht="13.5" customHeight="1" thickBot="1">
      <c r="B40" s="63" t="s">
        <v>11</v>
      </c>
      <c r="C40" s="64"/>
      <c r="D40" s="64"/>
      <c r="E40" s="65"/>
      <c r="G40" s="59" t="s">
        <v>12</v>
      </c>
      <c r="H40" s="59"/>
      <c r="I40" s="59"/>
      <c r="J40" s="59"/>
      <c r="L40" s="59" t="s">
        <v>13</v>
      </c>
      <c r="M40" s="59"/>
      <c r="N40" s="59"/>
      <c r="O40" s="59"/>
      <c r="Q40" s="59" t="s">
        <v>14</v>
      </c>
      <c r="R40" s="59"/>
      <c r="S40" s="59"/>
      <c r="T40" s="59"/>
      <c r="V40" s="59" t="s">
        <v>15</v>
      </c>
      <c r="W40" s="59"/>
      <c r="X40" s="59"/>
      <c r="Y40" s="59"/>
      <c r="AA40" s="21"/>
      <c r="AB40" s="21"/>
      <c r="AC40" s="21"/>
      <c r="AD40" s="21"/>
      <c r="AE40" s="21"/>
    </row>
    <row r="41" spans="1:31" s="7" customFormat="1" ht="45.75" thickBot="1">
      <c r="B41" s="28" t="s">
        <v>6</v>
      </c>
      <c r="C41" s="44" t="s">
        <v>7</v>
      </c>
      <c r="D41" s="43" t="s">
        <v>8</v>
      </c>
      <c r="E41" s="43" t="s">
        <v>9</v>
      </c>
      <c r="G41" s="28" t="s">
        <v>6</v>
      </c>
      <c r="H41" s="44" t="s">
        <v>7</v>
      </c>
      <c r="I41" s="45" t="s">
        <v>8</v>
      </c>
      <c r="J41" s="43" t="s">
        <v>9</v>
      </c>
      <c r="L41" s="28" t="s">
        <v>6</v>
      </c>
      <c r="M41" s="44" t="s">
        <v>7</v>
      </c>
      <c r="N41" s="45" t="s">
        <v>8</v>
      </c>
      <c r="O41" s="43" t="s">
        <v>9</v>
      </c>
      <c r="Q41" s="28" t="s">
        <v>6</v>
      </c>
      <c r="R41" s="44" t="s">
        <v>7</v>
      </c>
      <c r="S41" s="45" t="s">
        <v>8</v>
      </c>
      <c r="T41" s="43" t="s">
        <v>9</v>
      </c>
      <c r="V41" s="28" t="s">
        <v>6</v>
      </c>
      <c r="W41" s="44" t="s">
        <v>7</v>
      </c>
      <c r="X41" s="45" t="s">
        <v>8</v>
      </c>
      <c r="Y41" s="43" t="s">
        <v>9</v>
      </c>
    </row>
    <row r="42" spans="1:31">
      <c r="B42" s="1">
        <v>3949</v>
      </c>
      <c r="C42" s="1">
        <v>1558</v>
      </c>
      <c r="D42" s="1">
        <v>2101</v>
      </c>
      <c r="E42" s="1">
        <v>4759</v>
      </c>
      <c r="F42" s="2"/>
      <c r="G42" s="1">
        <v>5538</v>
      </c>
      <c r="H42" s="1">
        <v>1284</v>
      </c>
      <c r="I42" s="1">
        <v>1197</v>
      </c>
      <c r="J42" s="1">
        <v>2102</v>
      </c>
      <c r="K42" s="2"/>
      <c r="L42" s="1">
        <v>3136</v>
      </c>
      <c r="M42" s="1">
        <v>1142</v>
      </c>
      <c r="N42" s="1">
        <v>915</v>
      </c>
      <c r="O42" s="14">
        <v>1987</v>
      </c>
      <c r="P42" s="2"/>
      <c r="Q42" s="1">
        <v>1917</v>
      </c>
      <c r="R42" s="1">
        <v>2672</v>
      </c>
      <c r="S42" s="1">
        <v>759</v>
      </c>
      <c r="T42" s="1">
        <v>1685</v>
      </c>
      <c r="U42" s="2"/>
      <c r="V42" s="9">
        <v>1446</v>
      </c>
      <c r="W42" s="9">
        <v>1211</v>
      </c>
      <c r="X42" s="9">
        <v>979</v>
      </c>
      <c r="Y42" s="9">
        <v>2098</v>
      </c>
      <c r="Z42" s="7"/>
    </row>
    <row r="43" spans="1:31">
      <c r="B43" s="1">
        <v>3954</v>
      </c>
      <c r="C43" s="1">
        <v>1706</v>
      </c>
      <c r="D43" s="1">
        <v>2040</v>
      </c>
      <c r="E43" s="1">
        <v>3841</v>
      </c>
      <c r="F43" s="2"/>
      <c r="G43" s="1">
        <v>2587</v>
      </c>
      <c r="H43" s="1">
        <v>1251</v>
      </c>
      <c r="I43" s="1">
        <v>1139</v>
      </c>
      <c r="J43" s="1">
        <v>2989</v>
      </c>
      <c r="K43" s="2"/>
      <c r="L43" s="1">
        <v>2923</v>
      </c>
      <c r="M43" s="1">
        <v>1097</v>
      </c>
      <c r="N43" s="1">
        <v>1006</v>
      </c>
      <c r="O43" s="14">
        <v>2601</v>
      </c>
      <c r="P43" s="2"/>
      <c r="Q43" s="1">
        <v>1460</v>
      </c>
      <c r="R43" s="1">
        <v>1358</v>
      </c>
      <c r="S43" s="1">
        <v>793</v>
      </c>
      <c r="T43" s="1">
        <v>1519</v>
      </c>
      <c r="U43" s="2"/>
      <c r="V43" s="9">
        <v>1411</v>
      </c>
      <c r="W43" s="9">
        <v>1685</v>
      </c>
      <c r="X43" s="9">
        <v>805</v>
      </c>
      <c r="Y43" s="9">
        <v>1689</v>
      </c>
      <c r="Z43" s="7"/>
    </row>
    <row r="44" spans="1:31">
      <c r="B44" s="1">
        <v>3993</v>
      </c>
      <c r="C44" s="1">
        <v>1748</v>
      </c>
      <c r="D44" s="1">
        <v>2043</v>
      </c>
      <c r="E44" s="1">
        <v>4174</v>
      </c>
      <c r="F44" s="2"/>
      <c r="G44" s="1">
        <v>2378</v>
      </c>
      <c r="H44" s="1">
        <v>1112</v>
      </c>
      <c r="I44" s="1">
        <v>1742</v>
      </c>
      <c r="J44" s="1">
        <v>2240</v>
      </c>
      <c r="K44" s="2"/>
      <c r="L44" s="1">
        <v>1920</v>
      </c>
      <c r="M44" s="1">
        <v>1254</v>
      </c>
      <c r="N44" s="1">
        <v>911</v>
      </c>
      <c r="O44" s="14">
        <v>1933</v>
      </c>
      <c r="P44" s="2"/>
      <c r="Q44" s="1">
        <v>1285</v>
      </c>
      <c r="R44" s="1">
        <v>1284</v>
      </c>
      <c r="S44" s="1">
        <v>768</v>
      </c>
      <c r="T44" s="1">
        <v>1541</v>
      </c>
      <c r="U44" s="2"/>
      <c r="V44" s="9">
        <v>2112</v>
      </c>
      <c r="W44" s="9">
        <v>1499</v>
      </c>
      <c r="X44" s="9">
        <v>862</v>
      </c>
      <c r="Y44" s="9">
        <v>2457</v>
      </c>
      <c r="Z44" s="7"/>
    </row>
    <row r="45" spans="1:31">
      <c r="B45" s="1">
        <v>7262</v>
      </c>
      <c r="C45" s="1">
        <v>1549</v>
      </c>
      <c r="D45" s="1">
        <v>1984</v>
      </c>
      <c r="E45" s="1">
        <v>3839</v>
      </c>
      <c r="F45" s="2"/>
      <c r="G45" s="1">
        <v>3811</v>
      </c>
      <c r="H45" s="1">
        <v>1176</v>
      </c>
      <c r="I45" s="1">
        <v>1231</v>
      </c>
      <c r="J45" s="1">
        <v>2027</v>
      </c>
      <c r="K45" s="2"/>
      <c r="L45" s="1">
        <v>1088</v>
      </c>
      <c r="M45" s="1">
        <v>1025</v>
      </c>
      <c r="N45" s="1">
        <v>934</v>
      </c>
      <c r="O45" s="14">
        <v>1946</v>
      </c>
      <c r="P45" s="2"/>
      <c r="Q45" s="1">
        <v>1802</v>
      </c>
      <c r="R45" s="1">
        <v>1312</v>
      </c>
      <c r="S45" s="1">
        <v>770</v>
      </c>
      <c r="T45" s="1">
        <v>1853</v>
      </c>
      <c r="U45" s="2"/>
      <c r="V45" s="9">
        <v>2261</v>
      </c>
      <c r="W45" s="9">
        <v>1446</v>
      </c>
      <c r="X45" s="9">
        <v>785</v>
      </c>
      <c r="Y45" s="9">
        <v>2038</v>
      </c>
      <c r="Z45" s="7"/>
    </row>
    <row r="46" spans="1:31">
      <c r="B46" s="1">
        <v>4298</v>
      </c>
      <c r="C46" s="1">
        <v>1588</v>
      </c>
      <c r="D46" s="1">
        <v>2051</v>
      </c>
      <c r="E46" s="1">
        <v>4247</v>
      </c>
      <c r="F46" s="2"/>
      <c r="G46" s="1">
        <v>5157</v>
      </c>
      <c r="H46" s="1">
        <v>1213</v>
      </c>
      <c r="I46" s="1">
        <v>1193</v>
      </c>
      <c r="J46" s="1">
        <v>2505</v>
      </c>
      <c r="K46" s="2"/>
      <c r="L46" s="1">
        <v>1680</v>
      </c>
      <c r="M46" s="1">
        <v>1146</v>
      </c>
      <c r="N46" s="1">
        <v>943</v>
      </c>
      <c r="O46" s="14">
        <v>1963</v>
      </c>
      <c r="P46" s="2"/>
      <c r="Q46" s="1">
        <v>1679</v>
      </c>
      <c r="R46" s="1">
        <v>1308</v>
      </c>
      <c r="S46" s="1">
        <v>735</v>
      </c>
      <c r="T46" s="1">
        <v>1628</v>
      </c>
      <c r="U46" s="2"/>
      <c r="V46" s="9">
        <v>2147</v>
      </c>
      <c r="W46" s="9">
        <v>2234</v>
      </c>
      <c r="X46" s="9">
        <v>1163</v>
      </c>
      <c r="Y46" s="9">
        <v>1978</v>
      </c>
      <c r="Z46" s="7"/>
    </row>
    <row r="47" spans="1:31">
      <c r="B47" s="1">
        <v>4127</v>
      </c>
      <c r="C47" s="1">
        <v>1494</v>
      </c>
      <c r="D47" s="1">
        <v>1989</v>
      </c>
      <c r="E47" s="1">
        <v>3825</v>
      </c>
      <c r="F47" s="2"/>
      <c r="G47" s="1">
        <v>2171</v>
      </c>
      <c r="H47" s="1">
        <v>1154</v>
      </c>
      <c r="I47" s="1">
        <v>1318</v>
      </c>
      <c r="J47" s="1">
        <v>2712</v>
      </c>
      <c r="K47" s="2"/>
      <c r="L47" s="1">
        <v>1974</v>
      </c>
      <c r="M47" s="1">
        <v>1115</v>
      </c>
      <c r="N47" s="1">
        <v>920</v>
      </c>
      <c r="O47" s="14">
        <v>2114</v>
      </c>
      <c r="P47" s="2"/>
      <c r="Q47" s="1">
        <v>2063</v>
      </c>
      <c r="R47" s="1">
        <v>2409</v>
      </c>
      <c r="S47" s="1">
        <v>1126</v>
      </c>
      <c r="T47" s="1">
        <v>1948</v>
      </c>
      <c r="U47" s="2"/>
      <c r="V47" s="9">
        <v>1658</v>
      </c>
      <c r="W47" s="9">
        <v>1673</v>
      </c>
      <c r="X47" s="9">
        <v>710</v>
      </c>
      <c r="Y47" s="9">
        <v>1879</v>
      </c>
      <c r="Z47" s="7"/>
    </row>
    <row r="48" spans="1:31">
      <c r="B48" s="1">
        <v>4078</v>
      </c>
      <c r="C48" s="1">
        <v>1858</v>
      </c>
      <c r="D48" s="1">
        <v>2046</v>
      </c>
      <c r="E48" s="1">
        <v>4224</v>
      </c>
      <c r="F48" s="2"/>
      <c r="G48" s="1">
        <v>2358</v>
      </c>
      <c r="H48" s="1">
        <v>1263</v>
      </c>
      <c r="I48" s="1">
        <v>1544</v>
      </c>
      <c r="J48" s="1">
        <v>2645</v>
      </c>
      <c r="K48" s="2"/>
      <c r="L48" s="1">
        <v>1470</v>
      </c>
      <c r="M48" s="1">
        <v>1128</v>
      </c>
      <c r="N48" s="1">
        <v>899</v>
      </c>
      <c r="O48" s="14">
        <v>1852</v>
      </c>
      <c r="P48" s="2"/>
      <c r="Q48" s="1">
        <v>1238</v>
      </c>
      <c r="R48" s="1">
        <v>2397</v>
      </c>
      <c r="S48" s="1">
        <v>757</v>
      </c>
      <c r="T48" s="1">
        <v>1696</v>
      </c>
      <c r="U48" s="2"/>
      <c r="V48" s="9">
        <v>1472</v>
      </c>
      <c r="W48" s="9">
        <v>1715</v>
      </c>
      <c r="X48" s="9">
        <v>1216</v>
      </c>
      <c r="Y48" s="9">
        <v>2955</v>
      </c>
      <c r="Z48" s="7"/>
    </row>
    <row r="49" spans="2:26">
      <c r="B49" s="1">
        <v>9719</v>
      </c>
      <c r="C49" s="1">
        <v>1679</v>
      </c>
      <c r="D49" s="1">
        <v>2036</v>
      </c>
      <c r="E49" s="1">
        <v>4003</v>
      </c>
      <c r="F49" s="2"/>
      <c r="G49" s="1">
        <v>6872</v>
      </c>
      <c r="H49" s="1">
        <v>1280</v>
      </c>
      <c r="I49" s="1">
        <v>1842</v>
      </c>
      <c r="J49" s="1">
        <v>2079</v>
      </c>
      <c r="K49" s="2"/>
      <c r="L49" s="1">
        <v>2288</v>
      </c>
      <c r="M49" s="1">
        <v>1336</v>
      </c>
      <c r="N49" s="1">
        <v>899</v>
      </c>
      <c r="O49" s="14">
        <v>2640</v>
      </c>
      <c r="P49" s="2"/>
      <c r="Q49" s="1">
        <v>1323</v>
      </c>
      <c r="R49" s="1">
        <v>1525</v>
      </c>
      <c r="S49" s="1">
        <v>771</v>
      </c>
      <c r="T49" s="1">
        <v>2099</v>
      </c>
      <c r="U49" s="2"/>
      <c r="V49" s="9">
        <v>1533</v>
      </c>
      <c r="W49" s="9">
        <v>1634</v>
      </c>
      <c r="X49" s="9">
        <v>693</v>
      </c>
      <c r="Y49" s="9">
        <v>2316</v>
      </c>
      <c r="Z49" s="7"/>
    </row>
    <row r="50" spans="2:26">
      <c r="B50" s="1">
        <v>5361</v>
      </c>
      <c r="C50" s="1">
        <v>2486</v>
      </c>
      <c r="D50" s="1">
        <v>2049</v>
      </c>
      <c r="E50" s="1">
        <v>3496</v>
      </c>
      <c r="F50" s="2"/>
      <c r="G50" s="1">
        <v>3081</v>
      </c>
      <c r="H50" s="1">
        <v>1221</v>
      </c>
      <c r="I50" s="1">
        <v>1160</v>
      </c>
      <c r="J50" s="1">
        <v>2793</v>
      </c>
      <c r="K50" s="2"/>
      <c r="L50" s="1">
        <v>3014</v>
      </c>
      <c r="M50" s="1">
        <v>1179</v>
      </c>
      <c r="N50" s="1">
        <v>1071</v>
      </c>
      <c r="O50" s="14">
        <v>2689</v>
      </c>
      <c r="P50" s="2"/>
      <c r="Q50" s="1">
        <v>1454</v>
      </c>
      <c r="R50" s="1">
        <v>1213</v>
      </c>
      <c r="S50" s="1">
        <v>814</v>
      </c>
      <c r="T50" s="1">
        <v>1506</v>
      </c>
      <c r="U50" s="2"/>
      <c r="V50" s="9">
        <v>1554</v>
      </c>
      <c r="W50" s="9">
        <v>3208</v>
      </c>
      <c r="X50" s="9">
        <v>677</v>
      </c>
      <c r="Y50" s="9">
        <v>2372</v>
      </c>
      <c r="Z50" s="7"/>
    </row>
    <row r="51" spans="2:26">
      <c r="B51" s="1">
        <v>4239</v>
      </c>
      <c r="C51" s="1">
        <v>1445</v>
      </c>
      <c r="D51" s="1">
        <v>2103</v>
      </c>
      <c r="E51" s="1">
        <v>3923</v>
      </c>
      <c r="F51" s="2"/>
      <c r="G51" s="1">
        <v>2450</v>
      </c>
      <c r="H51" s="1">
        <v>1325</v>
      </c>
      <c r="I51" s="1">
        <v>1211</v>
      </c>
      <c r="J51" s="1">
        <v>3161</v>
      </c>
      <c r="K51" s="2"/>
      <c r="L51" s="1">
        <v>2277</v>
      </c>
      <c r="M51" s="1">
        <v>1108</v>
      </c>
      <c r="N51" s="1">
        <v>959</v>
      </c>
      <c r="O51" s="14">
        <v>2096</v>
      </c>
      <c r="P51" s="2"/>
      <c r="Q51" s="1">
        <v>1411</v>
      </c>
      <c r="R51" s="1">
        <v>1186</v>
      </c>
      <c r="S51" s="1">
        <v>812</v>
      </c>
      <c r="T51" s="1">
        <v>2153</v>
      </c>
      <c r="U51" s="2"/>
      <c r="V51" s="9">
        <v>1440</v>
      </c>
      <c r="W51" s="9">
        <v>1594</v>
      </c>
      <c r="X51" s="9">
        <v>730</v>
      </c>
      <c r="Y51" s="9">
        <v>1748</v>
      </c>
      <c r="Z51" s="7"/>
    </row>
    <row r="52" spans="2:26">
      <c r="B52" s="1">
        <v>7938</v>
      </c>
      <c r="C52" s="1">
        <v>1758</v>
      </c>
      <c r="D52" s="1">
        <v>1993</v>
      </c>
      <c r="E52" s="1">
        <v>5051</v>
      </c>
      <c r="F52" s="2"/>
      <c r="G52" s="1">
        <v>2171</v>
      </c>
      <c r="H52" s="1">
        <v>1130</v>
      </c>
      <c r="I52" s="1">
        <v>1171</v>
      </c>
      <c r="J52" s="1">
        <v>2794</v>
      </c>
      <c r="K52" s="2"/>
      <c r="L52" s="1">
        <v>1356</v>
      </c>
      <c r="M52" s="1">
        <v>1064</v>
      </c>
      <c r="N52" s="1">
        <v>998</v>
      </c>
      <c r="O52" s="14">
        <v>1951</v>
      </c>
      <c r="P52" s="2"/>
      <c r="Q52" s="1">
        <v>1264</v>
      </c>
      <c r="R52" s="1">
        <v>1173</v>
      </c>
      <c r="S52" s="1">
        <v>758</v>
      </c>
      <c r="T52" s="1">
        <v>2115</v>
      </c>
      <c r="U52" s="2"/>
      <c r="V52" s="9">
        <v>1552</v>
      </c>
      <c r="W52" s="9">
        <v>2105</v>
      </c>
      <c r="X52" s="9">
        <v>819</v>
      </c>
      <c r="Y52" s="9">
        <v>1939</v>
      </c>
      <c r="Z52" s="7"/>
    </row>
    <row r="53" spans="2:26">
      <c r="B53" s="1">
        <v>4596</v>
      </c>
      <c r="C53" s="1">
        <v>1607</v>
      </c>
      <c r="D53" s="1">
        <v>2051</v>
      </c>
      <c r="E53" s="1">
        <v>4127</v>
      </c>
      <c r="F53" s="2"/>
      <c r="G53" s="1">
        <v>5743</v>
      </c>
      <c r="H53" s="1">
        <v>1222</v>
      </c>
      <c r="I53" s="1">
        <v>1211</v>
      </c>
      <c r="J53" s="1">
        <v>2549</v>
      </c>
      <c r="K53" s="2"/>
      <c r="L53" s="1">
        <v>1304</v>
      </c>
      <c r="M53" s="1">
        <v>1047</v>
      </c>
      <c r="N53" s="1">
        <v>950</v>
      </c>
      <c r="O53" s="14">
        <v>1972</v>
      </c>
      <c r="P53" s="2"/>
      <c r="Q53" s="1">
        <v>1412</v>
      </c>
      <c r="R53" s="1">
        <v>1253</v>
      </c>
      <c r="S53" s="1">
        <v>839</v>
      </c>
      <c r="T53" s="1">
        <v>1849</v>
      </c>
      <c r="U53" s="2"/>
      <c r="V53" s="9">
        <v>1656</v>
      </c>
      <c r="W53" s="9">
        <v>3995</v>
      </c>
      <c r="X53" s="9">
        <v>795</v>
      </c>
      <c r="Y53" s="9">
        <v>1901</v>
      </c>
      <c r="Z53" s="7"/>
    </row>
    <row r="54" spans="2:26">
      <c r="B54" s="1">
        <v>9564</v>
      </c>
      <c r="C54" s="1">
        <v>1503</v>
      </c>
      <c r="D54" s="1">
        <v>2002</v>
      </c>
      <c r="E54" s="1">
        <v>4042</v>
      </c>
      <c r="F54" s="2"/>
      <c r="G54" s="1">
        <v>5424</v>
      </c>
      <c r="H54" s="1">
        <v>1232</v>
      </c>
      <c r="I54" s="1">
        <v>1339</v>
      </c>
      <c r="J54" s="1">
        <v>2064</v>
      </c>
      <c r="K54" s="2"/>
      <c r="L54" s="1">
        <v>1394</v>
      </c>
      <c r="M54" s="1">
        <v>1003</v>
      </c>
      <c r="N54" s="1">
        <v>940</v>
      </c>
      <c r="O54" s="14">
        <v>2275</v>
      </c>
      <c r="P54" s="2"/>
      <c r="Q54" s="1">
        <v>1351</v>
      </c>
      <c r="R54" s="1">
        <v>1158</v>
      </c>
      <c r="S54" s="1">
        <v>890</v>
      </c>
      <c r="T54" s="1">
        <v>2156</v>
      </c>
      <c r="U54" s="2"/>
      <c r="V54" s="9">
        <v>1437</v>
      </c>
      <c r="W54" s="9">
        <v>1744</v>
      </c>
      <c r="X54" s="9">
        <v>803</v>
      </c>
      <c r="Y54" s="9">
        <v>2301</v>
      </c>
      <c r="Z54" s="7"/>
    </row>
    <row r="55" spans="2:26">
      <c r="B55" s="1">
        <v>4661</v>
      </c>
      <c r="C55" s="1">
        <v>1642</v>
      </c>
      <c r="D55" s="1">
        <v>2001</v>
      </c>
      <c r="E55" s="1">
        <v>4240</v>
      </c>
      <c r="F55" s="2"/>
      <c r="G55" s="1">
        <v>4525</v>
      </c>
      <c r="H55" s="1">
        <v>1228</v>
      </c>
      <c r="I55" s="1">
        <v>1189</v>
      </c>
      <c r="J55" s="1">
        <v>2428</v>
      </c>
      <c r="K55" s="2"/>
      <c r="L55" s="1">
        <v>1313</v>
      </c>
      <c r="M55" s="1">
        <v>969</v>
      </c>
      <c r="N55" s="1">
        <v>1041</v>
      </c>
      <c r="O55" s="14">
        <v>2096</v>
      </c>
      <c r="P55" s="2"/>
      <c r="Q55" s="1">
        <v>1338</v>
      </c>
      <c r="R55" s="1">
        <v>1260</v>
      </c>
      <c r="S55" s="1">
        <v>838</v>
      </c>
      <c r="T55" s="1">
        <v>2230</v>
      </c>
      <c r="U55" s="2"/>
      <c r="V55" s="9">
        <v>1447</v>
      </c>
      <c r="W55" s="9">
        <v>3044</v>
      </c>
      <c r="X55" s="9">
        <v>776</v>
      </c>
      <c r="Y55" s="9">
        <v>2148</v>
      </c>
      <c r="Z55" s="7"/>
    </row>
    <row r="56" spans="2:26">
      <c r="B56" s="1">
        <v>6919</v>
      </c>
      <c r="C56" s="1">
        <v>1479</v>
      </c>
      <c r="D56" s="1">
        <v>2146</v>
      </c>
      <c r="E56" s="1">
        <v>4724</v>
      </c>
      <c r="F56" s="2"/>
      <c r="G56" s="1">
        <v>4955</v>
      </c>
      <c r="H56" s="1">
        <v>1237</v>
      </c>
      <c r="I56" s="1">
        <v>1156</v>
      </c>
      <c r="J56" s="1">
        <v>2417</v>
      </c>
      <c r="K56" s="2"/>
      <c r="L56" s="1">
        <v>1550</v>
      </c>
      <c r="M56" s="1">
        <v>1088</v>
      </c>
      <c r="N56" s="1">
        <v>937</v>
      </c>
      <c r="O56" s="14">
        <v>2242</v>
      </c>
      <c r="P56" s="2"/>
      <c r="Q56" s="1">
        <v>1290</v>
      </c>
      <c r="R56" s="1">
        <v>1286</v>
      </c>
      <c r="S56" s="1">
        <v>757</v>
      </c>
      <c r="T56" s="1">
        <v>1897</v>
      </c>
      <c r="U56" s="2"/>
      <c r="V56" s="9">
        <v>1434</v>
      </c>
      <c r="W56" s="9">
        <v>3764</v>
      </c>
      <c r="X56" s="9">
        <v>816</v>
      </c>
      <c r="Y56" s="9">
        <v>1781</v>
      </c>
      <c r="Z56" s="7"/>
    </row>
    <row r="57" spans="2:26">
      <c r="B57" s="1">
        <v>9944</v>
      </c>
      <c r="C57" s="1">
        <v>1476</v>
      </c>
      <c r="D57" s="1">
        <v>1985</v>
      </c>
      <c r="E57" s="1">
        <v>3748</v>
      </c>
      <c r="F57" s="2"/>
      <c r="G57" s="1">
        <v>3786</v>
      </c>
      <c r="H57" s="1">
        <v>1256</v>
      </c>
      <c r="I57" s="1">
        <v>1158</v>
      </c>
      <c r="J57" s="1">
        <v>2157</v>
      </c>
      <c r="K57" s="2"/>
      <c r="L57" s="1">
        <v>1364</v>
      </c>
      <c r="M57" s="1">
        <v>1054</v>
      </c>
      <c r="N57" s="1">
        <v>964</v>
      </c>
      <c r="O57" s="14">
        <v>2013</v>
      </c>
      <c r="P57" s="2"/>
      <c r="Q57" s="1">
        <v>1242</v>
      </c>
      <c r="R57" s="1">
        <v>1578</v>
      </c>
      <c r="S57" s="1">
        <v>751</v>
      </c>
      <c r="T57" s="1">
        <v>2079</v>
      </c>
      <c r="U57" s="2"/>
      <c r="V57" s="9">
        <v>1503</v>
      </c>
      <c r="W57" s="9">
        <v>3575</v>
      </c>
      <c r="X57" s="9">
        <v>809</v>
      </c>
      <c r="Y57" s="9">
        <v>2058</v>
      </c>
      <c r="Z57" s="7"/>
    </row>
    <row r="58" spans="2:26">
      <c r="B58" s="1">
        <v>5248</v>
      </c>
      <c r="C58" s="1">
        <v>1494</v>
      </c>
      <c r="D58" s="1">
        <v>2041</v>
      </c>
      <c r="E58" s="1">
        <v>3677</v>
      </c>
      <c r="F58" s="2"/>
      <c r="G58" s="1">
        <v>3245</v>
      </c>
      <c r="H58" s="1">
        <v>1470</v>
      </c>
      <c r="I58" s="1">
        <v>1161</v>
      </c>
      <c r="J58" s="1">
        <v>2810</v>
      </c>
      <c r="K58" s="2"/>
      <c r="L58" s="1">
        <v>1231</v>
      </c>
      <c r="M58" s="1">
        <v>1090</v>
      </c>
      <c r="N58" s="1">
        <v>963</v>
      </c>
      <c r="O58" s="14">
        <v>1847</v>
      </c>
      <c r="P58" s="2"/>
      <c r="Q58" s="1">
        <v>1419</v>
      </c>
      <c r="R58" s="1">
        <v>1773</v>
      </c>
      <c r="S58" s="1">
        <v>761</v>
      </c>
      <c r="T58" s="1">
        <v>1674</v>
      </c>
      <c r="U58" s="2"/>
      <c r="V58" s="9">
        <v>1426</v>
      </c>
      <c r="W58" s="9">
        <v>3460</v>
      </c>
      <c r="X58" s="9">
        <v>707</v>
      </c>
      <c r="Y58" s="9">
        <v>1983</v>
      </c>
      <c r="Z58" s="7"/>
    </row>
    <row r="59" spans="2:26">
      <c r="B59" s="1">
        <v>6714</v>
      </c>
      <c r="C59" s="1">
        <v>1812</v>
      </c>
      <c r="D59" s="1">
        <v>2387</v>
      </c>
      <c r="E59" s="1">
        <v>4014</v>
      </c>
      <c r="F59" s="2"/>
      <c r="G59" s="1">
        <v>6855</v>
      </c>
      <c r="H59" s="1">
        <v>1291</v>
      </c>
      <c r="I59" s="1">
        <v>1162</v>
      </c>
      <c r="J59" s="1">
        <v>2769</v>
      </c>
      <c r="K59" s="2"/>
      <c r="L59" s="1">
        <v>1689</v>
      </c>
      <c r="M59" s="1">
        <v>1087</v>
      </c>
      <c r="N59" s="1">
        <v>1049</v>
      </c>
      <c r="O59" s="14">
        <v>2534</v>
      </c>
      <c r="P59" s="2"/>
      <c r="Q59" s="1">
        <v>1312</v>
      </c>
      <c r="R59" s="1">
        <v>2017</v>
      </c>
      <c r="S59" s="1">
        <v>763</v>
      </c>
      <c r="T59" s="1">
        <v>2107</v>
      </c>
      <c r="U59" s="2"/>
      <c r="V59" s="9">
        <v>1451</v>
      </c>
      <c r="W59" s="9">
        <v>1847</v>
      </c>
      <c r="X59" s="9">
        <v>711</v>
      </c>
      <c r="Y59" s="9">
        <v>2723</v>
      </c>
      <c r="Z59" s="7"/>
    </row>
    <row r="60" spans="2:26">
      <c r="B60" s="1">
        <v>9361</v>
      </c>
      <c r="C60" s="1">
        <v>1476</v>
      </c>
      <c r="D60" s="1">
        <v>2066</v>
      </c>
      <c r="E60" s="1">
        <v>4551</v>
      </c>
      <c r="F60" s="2"/>
      <c r="G60" s="1">
        <v>4879</v>
      </c>
      <c r="H60" s="1">
        <v>1175</v>
      </c>
      <c r="I60" s="1">
        <v>1221</v>
      </c>
      <c r="J60" s="1">
        <v>2461</v>
      </c>
      <c r="K60" s="2"/>
      <c r="L60" s="1">
        <v>1222</v>
      </c>
      <c r="M60" s="1">
        <v>1058</v>
      </c>
      <c r="N60" s="1">
        <v>1037</v>
      </c>
      <c r="O60" s="14">
        <v>2577</v>
      </c>
      <c r="P60" s="2"/>
      <c r="Q60" s="1">
        <v>1575</v>
      </c>
      <c r="R60" s="1">
        <v>2070</v>
      </c>
      <c r="S60" s="1">
        <v>771</v>
      </c>
      <c r="T60" s="1">
        <v>2547</v>
      </c>
      <c r="U60" s="2"/>
      <c r="V60" s="9">
        <v>1587</v>
      </c>
      <c r="W60" s="9">
        <v>1701</v>
      </c>
      <c r="X60" s="9">
        <v>734</v>
      </c>
      <c r="Y60" s="9">
        <v>2148</v>
      </c>
      <c r="Z60" s="7"/>
    </row>
    <row r="61" spans="2:26">
      <c r="B61" s="1">
        <v>4202</v>
      </c>
      <c r="C61" s="1">
        <v>1574</v>
      </c>
      <c r="D61" s="1">
        <v>1991</v>
      </c>
      <c r="E61" s="1">
        <v>4429</v>
      </c>
      <c r="F61" s="2"/>
      <c r="G61" s="1">
        <v>3677</v>
      </c>
      <c r="H61" s="1">
        <v>1328</v>
      </c>
      <c r="I61" s="1">
        <v>1176</v>
      </c>
      <c r="J61" s="1">
        <v>3004</v>
      </c>
      <c r="K61" s="2"/>
      <c r="L61" s="1">
        <v>2939</v>
      </c>
      <c r="M61" s="1">
        <v>1148</v>
      </c>
      <c r="N61" s="1">
        <v>901</v>
      </c>
      <c r="O61" s="14">
        <v>1903</v>
      </c>
      <c r="P61" s="2"/>
      <c r="Q61" s="1">
        <v>1437</v>
      </c>
      <c r="R61" s="1">
        <v>1573</v>
      </c>
      <c r="S61" s="1">
        <v>854</v>
      </c>
      <c r="T61" s="1">
        <v>1557</v>
      </c>
      <c r="U61" s="2"/>
      <c r="V61" s="9">
        <v>1438</v>
      </c>
      <c r="W61" s="9">
        <v>1583</v>
      </c>
      <c r="X61" s="9">
        <v>682</v>
      </c>
      <c r="Y61" s="9">
        <v>2416</v>
      </c>
      <c r="Z61" s="7"/>
    </row>
    <row r="62" spans="2:26">
      <c r="B62" s="1">
        <v>12871</v>
      </c>
      <c r="C62" s="1">
        <v>1842</v>
      </c>
      <c r="D62" s="1">
        <v>2063</v>
      </c>
      <c r="E62" s="1">
        <v>3639</v>
      </c>
      <c r="F62" s="2"/>
      <c r="G62" s="1">
        <v>4777</v>
      </c>
      <c r="H62" s="1">
        <v>1193</v>
      </c>
      <c r="I62" s="1">
        <v>1175</v>
      </c>
      <c r="J62" s="1">
        <v>2587</v>
      </c>
      <c r="K62" s="2"/>
      <c r="L62" s="1">
        <v>2939</v>
      </c>
      <c r="M62" s="1">
        <v>1136</v>
      </c>
      <c r="N62" s="1">
        <v>970</v>
      </c>
      <c r="O62" s="14">
        <v>2140</v>
      </c>
      <c r="P62" s="2"/>
      <c r="Q62" s="1">
        <v>1296</v>
      </c>
      <c r="R62" s="1">
        <v>1645</v>
      </c>
      <c r="S62" s="1">
        <v>822</v>
      </c>
      <c r="T62" s="1">
        <v>1960</v>
      </c>
      <c r="U62" s="2"/>
      <c r="V62" s="9">
        <v>1920</v>
      </c>
      <c r="W62" s="9">
        <v>1748</v>
      </c>
      <c r="X62" s="9">
        <v>788</v>
      </c>
      <c r="Y62" s="9">
        <v>2325</v>
      </c>
      <c r="Z62" s="7"/>
    </row>
    <row r="63" spans="2:26">
      <c r="B63" s="1">
        <v>9893</v>
      </c>
      <c r="C63" s="1">
        <v>2354</v>
      </c>
      <c r="D63" s="1">
        <v>1985</v>
      </c>
      <c r="E63" s="1">
        <v>3585</v>
      </c>
      <c r="F63" s="2"/>
      <c r="G63" s="1">
        <v>6868</v>
      </c>
      <c r="H63" s="1">
        <v>1397</v>
      </c>
      <c r="I63" s="1">
        <v>1201</v>
      </c>
      <c r="J63" s="1">
        <v>2500</v>
      </c>
      <c r="K63" s="2"/>
      <c r="L63" s="1">
        <v>1524</v>
      </c>
      <c r="M63" s="1">
        <v>1267</v>
      </c>
      <c r="N63" s="1">
        <v>979</v>
      </c>
      <c r="O63" s="14">
        <v>2828</v>
      </c>
      <c r="P63" s="2"/>
      <c r="Q63" s="1">
        <v>1293</v>
      </c>
      <c r="R63" s="1">
        <v>1633</v>
      </c>
      <c r="S63" s="1">
        <v>968</v>
      </c>
      <c r="T63" s="1">
        <v>2204</v>
      </c>
      <c r="U63" s="2"/>
      <c r="V63" s="9">
        <v>2552</v>
      </c>
      <c r="W63" s="9">
        <v>1674</v>
      </c>
      <c r="X63" s="9">
        <v>841</v>
      </c>
      <c r="Y63" s="9">
        <v>2424</v>
      </c>
      <c r="Z63" s="7"/>
    </row>
    <row r="64" spans="2:26">
      <c r="B64" s="1">
        <v>11458</v>
      </c>
      <c r="C64" s="1">
        <v>1588</v>
      </c>
      <c r="D64" s="1">
        <v>2051</v>
      </c>
      <c r="E64" s="1">
        <v>3895</v>
      </c>
      <c r="F64" s="2"/>
      <c r="G64" s="1">
        <v>3865</v>
      </c>
      <c r="H64" s="1">
        <v>1166</v>
      </c>
      <c r="I64" s="1">
        <v>1160</v>
      </c>
      <c r="J64" s="1">
        <v>2286</v>
      </c>
      <c r="K64" s="2"/>
      <c r="L64" s="1">
        <v>2014</v>
      </c>
      <c r="M64" s="1">
        <v>1442</v>
      </c>
      <c r="N64" s="1">
        <v>925</v>
      </c>
      <c r="O64" s="14">
        <v>2261</v>
      </c>
      <c r="P64" s="2"/>
      <c r="Q64" s="1">
        <v>1330</v>
      </c>
      <c r="R64" s="1">
        <v>2523</v>
      </c>
      <c r="S64" s="1">
        <v>695</v>
      </c>
      <c r="T64" s="1">
        <v>1615</v>
      </c>
      <c r="U64" s="2"/>
      <c r="V64" s="9">
        <v>1662</v>
      </c>
      <c r="W64" s="9">
        <v>1479</v>
      </c>
      <c r="X64" s="9">
        <v>799</v>
      </c>
      <c r="Y64" s="9">
        <v>2123</v>
      </c>
      <c r="Z64" s="7"/>
    </row>
    <row r="65" spans="1:31">
      <c r="B65" s="1">
        <v>9746</v>
      </c>
      <c r="C65" s="1">
        <v>1899</v>
      </c>
      <c r="D65" s="1">
        <v>1995</v>
      </c>
      <c r="E65" s="1">
        <v>3568</v>
      </c>
      <c r="F65" s="2"/>
      <c r="G65" s="1">
        <v>5379</v>
      </c>
      <c r="H65" s="1">
        <v>1184</v>
      </c>
      <c r="I65" s="1">
        <v>1961</v>
      </c>
      <c r="J65" s="1">
        <v>2587</v>
      </c>
      <c r="K65" s="2"/>
      <c r="L65" s="1">
        <v>1651</v>
      </c>
      <c r="M65" s="1">
        <v>2042</v>
      </c>
      <c r="N65" s="1">
        <v>932</v>
      </c>
      <c r="O65" s="14">
        <v>2129</v>
      </c>
      <c r="P65" s="2"/>
      <c r="Q65" s="1">
        <v>1537</v>
      </c>
      <c r="R65" s="1">
        <v>1702</v>
      </c>
      <c r="S65" s="1">
        <v>896</v>
      </c>
      <c r="T65" s="1">
        <v>1976</v>
      </c>
      <c r="U65" s="2"/>
      <c r="V65" s="9">
        <v>1546</v>
      </c>
      <c r="W65" s="9">
        <v>1450</v>
      </c>
      <c r="X65" s="9">
        <v>899</v>
      </c>
      <c r="Y65" s="9">
        <v>1994</v>
      </c>
      <c r="Z65" s="7"/>
    </row>
    <row r="66" spans="1:31">
      <c r="B66" s="1">
        <v>8156</v>
      </c>
      <c r="C66" s="1">
        <v>1938</v>
      </c>
      <c r="D66" s="1">
        <v>2082</v>
      </c>
      <c r="E66" s="1">
        <v>3594</v>
      </c>
      <c r="F66" s="2"/>
      <c r="G66" s="1">
        <v>3328</v>
      </c>
      <c r="H66" s="1">
        <v>1206</v>
      </c>
      <c r="I66" s="1">
        <v>1216</v>
      </c>
      <c r="J66" s="1">
        <v>2568</v>
      </c>
      <c r="K66" s="2"/>
      <c r="L66" s="1">
        <v>1202</v>
      </c>
      <c r="M66" s="1">
        <v>1485</v>
      </c>
      <c r="N66" s="1">
        <v>887</v>
      </c>
      <c r="O66" s="14">
        <v>2129</v>
      </c>
      <c r="P66" s="2"/>
      <c r="Q66" s="1">
        <v>1696</v>
      </c>
      <c r="R66" s="1">
        <v>1370</v>
      </c>
      <c r="S66" s="1">
        <v>798</v>
      </c>
      <c r="T66" s="1">
        <v>1773</v>
      </c>
      <c r="U66" s="2"/>
      <c r="V66" s="9">
        <v>2360</v>
      </c>
      <c r="W66" s="9">
        <v>1373</v>
      </c>
      <c r="X66" s="9">
        <v>900</v>
      </c>
      <c r="Y66" s="9">
        <v>2109</v>
      </c>
      <c r="Z66" s="7"/>
    </row>
    <row r="67" spans="1:31">
      <c r="B67" s="1">
        <v>9744</v>
      </c>
      <c r="C67" s="1">
        <v>1888</v>
      </c>
      <c r="D67" s="1">
        <v>2043</v>
      </c>
      <c r="E67" s="1">
        <v>3876</v>
      </c>
      <c r="F67" s="2"/>
      <c r="G67" s="1">
        <v>3556</v>
      </c>
      <c r="H67" s="1">
        <v>1130</v>
      </c>
      <c r="I67" s="1">
        <v>1210</v>
      </c>
      <c r="J67" s="1">
        <v>3201</v>
      </c>
      <c r="K67" s="2"/>
      <c r="L67" s="1">
        <v>1247</v>
      </c>
      <c r="M67" s="1">
        <v>1558</v>
      </c>
      <c r="N67" s="1">
        <v>887</v>
      </c>
      <c r="O67" s="14">
        <v>2210</v>
      </c>
      <c r="P67" s="2"/>
      <c r="Q67" s="1">
        <v>1386</v>
      </c>
      <c r="R67" s="1">
        <v>1455</v>
      </c>
      <c r="S67" s="1">
        <v>808</v>
      </c>
      <c r="T67" s="1">
        <v>1957</v>
      </c>
      <c r="U67" s="2"/>
      <c r="V67" s="9">
        <v>1699</v>
      </c>
      <c r="W67" s="9">
        <v>1404</v>
      </c>
      <c r="X67" s="9">
        <v>915</v>
      </c>
      <c r="Y67" s="9">
        <v>2214</v>
      </c>
      <c r="Z67" s="7"/>
    </row>
    <row r="68" spans="1:31">
      <c r="B68" s="1">
        <v>9461</v>
      </c>
      <c r="C68" s="1">
        <v>1489</v>
      </c>
      <c r="D68" s="1">
        <v>2063</v>
      </c>
      <c r="E68" s="1">
        <v>4585</v>
      </c>
      <c r="F68" s="2"/>
      <c r="G68" s="1">
        <v>2225</v>
      </c>
      <c r="H68" s="1">
        <v>1169</v>
      </c>
      <c r="I68" s="1">
        <v>1154</v>
      </c>
      <c r="J68" s="1">
        <v>2146</v>
      </c>
      <c r="K68" s="2"/>
      <c r="L68" s="1">
        <v>1276</v>
      </c>
      <c r="M68" s="1">
        <v>1312</v>
      </c>
      <c r="N68" s="1">
        <v>903</v>
      </c>
      <c r="O68" s="2">
        <v>2534</v>
      </c>
      <c r="P68" s="2"/>
      <c r="Q68" s="1">
        <v>1298</v>
      </c>
      <c r="R68" s="1">
        <v>1176</v>
      </c>
      <c r="S68" s="1">
        <v>997</v>
      </c>
      <c r="T68" s="1">
        <v>1848</v>
      </c>
      <c r="U68" s="2"/>
      <c r="V68" s="9">
        <v>1528</v>
      </c>
      <c r="W68" s="9">
        <v>1203</v>
      </c>
      <c r="X68" s="9">
        <v>691</v>
      </c>
      <c r="Y68" s="9">
        <v>2376</v>
      </c>
      <c r="Z68" s="7"/>
    </row>
    <row r="69" spans="1:31">
      <c r="B69" s="1">
        <v>4103</v>
      </c>
      <c r="C69" s="1">
        <v>1640</v>
      </c>
      <c r="D69" s="1">
        <v>2053</v>
      </c>
      <c r="E69" s="1">
        <v>5643</v>
      </c>
      <c r="F69" s="2"/>
      <c r="G69" s="1">
        <v>3561</v>
      </c>
      <c r="H69" s="1">
        <v>1192</v>
      </c>
      <c r="I69" s="1">
        <v>1155</v>
      </c>
      <c r="J69" s="1">
        <v>2634</v>
      </c>
      <c r="K69" s="2"/>
      <c r="L69" s="1">
        <v>1224</v>
      </c>
      <c r="M69" s="1">
        <v>1535</v>
      </c>
      <c r="N69" s="1">
        <v>900</v>
      </c>
      <c r="O69" s="14">
        <v>2102</v>
      </c>
      <c r="P69" s="2"/>
      <c r="Q69" s="1">
        <v>1453</v>
      </c>
      <c r="R69" s="1">
        <v>1405</v>
      </c>
      <c r="S69" s="1">
        <v>756</v>
      </c>
      <c r="T69" s="1">
        <v>1809</v>
      </c>
      <c r="U69" s="2"/>
      <c r="V69" s="9">
        <v>1516</v>
      </c>
      <c r="W69" s="9">
        <v>1537</v>
      </c>
      <c r="X69" s="9">
        <v>855</v>
      </c>
      <c r="Y69" s="9">
        <v>3209</v>
      </c>
      <c r="Z69" s="7"/>
    </row>
    <row r="70" spans="1:31">
      <c r="B70" s="1">
        <v>10837</v>
      </c>
      <c r="C70" s="1">
        <v>1685</v>
      </c>
      <c r="D70" s="1">
        <v>2025</v>
      </c>
      <c r="E70" s="1">
        <v>4138</v>
      </c>
      <c r="F70" s="2"/>
      <c r="G70" s="1">
        <v>2700</v>
      </c>
      <c r="H70" s="1">
        <v>1113</v>
      </c>
      <c r="I70" s="1">
        <v>1169</v>
      </c>
      <c r="J70" s="1">
        <v>3254</v>
      </c>
      <c r="K70" s="2"/>
      <c r="L70" s="1">
        <v>1396</v>
      </c>
      <c r="M70" s="1">
        <v>1392</v>
      </c>
      <c r="N70" s="1">
        <v>986</v>
      </c>
      <c r="O70" s="14">
        <v>2623</v>
      </c>
      <c r="P70" s="2"/>
      <c r="Q70" s="1">
        <v>1327</v>
      </c>
      <c r="R70" s="1">
        <v>1304</v>
      </c>
      <c r="S70" s="1">
        <v>1015</v>
      </c>
      <c r="T70" s="1">
        <v>1908</v>
      </c>
      <c r="U70" s="2"/>
      <c r="V70" s="9">
        <v>2405</v>
      </c>
      <c r="W70" s="9">
        <v>1310</v>
      </c>
      <c r="X70" s="9">
        <v>695</v>
      </c>
      <c r="Y70" s="9">
        <v>2357</v>
      </c>
      <c r="Z70" s="7"/>
    </row>
    <row r="71" spans="1:31">
      <c r="B71" s="23">
        <v>4478</v>
      </c>
      <c r="C71" s="23">
        <v>2040</v>
      </c>
      <c r="D71" s="23">
        <v>1998</v>
      </c>
      <c r="E71" s="23">
        <v>3222</v>
      </c>
      <c r="F71" s="2"/>
      <c r="G71" s="23">
        <v>2897</v>
      </c>
      <c r="H71" s="23">
        <v>1283</v>
      </c>
      <c r="I71" s="23">
        <v>1158</v>
      </c>
      <c r="J71" s="23">
        <v>3194</v>
      </c>
      <c r="K71" s="2"/>
      <c r="L71" s="23">
        <v>1234</v>
      </c>
      <c r="M71" s="23">
        <v>1391</v>
      </c>
      <c r="N71" s="23">
        <v>903</v>
      </c>
      <c r="O71" s="24">
        <v>2030</v>
      </c>
      <c r="P71" s="2"/>
      <c r="Q71" s="23">
        <v>1440</v>
      </c>
      <c r="R71" s="23">
        <v>1294</v>
      </c>
      <c r="S71" s="23">
        <v>773</v>
      </c>
      <c r="T71" s="23">
        <v>1645</v>
      </c>
      <c r="U71" s="2"/>
      <c r="V71" s="9">
        <v>1569</v>
      </c>
      <c r="W71" s="9">
        <v>1349</v>
      </c>
      <c r="X71" s="9">
        <v>755</v>
      </c>
      <c r="Y71" s="9">
        <v>2040</v>
      </c>
      <c r="Z71" s="7"/>
    </row>
    <row r="72" spans="1:31">
      <c r="A72" s="6" t="s">
        <v>10</v>
      </c>
      <c r="B72" s="22">
        <f>AVERAGE(B42:B71)</f>
        <v>7029.1333333333332</v>
      </c>
      <c r="C72" s="22">
        <f>AVERAGE(C42:C71)</f>
        <v>1709.8333333333333</v>
      </c>
      <c r="D72" s="22">
        <v>1907</v>
      </c>
      <c r="E72" s="22">
        <f>AVERAGE(E42:E71)</f>
        <v>4089.3</v>
      </c>
      <c r="F72" s="2"/>
      <c r="G72" s="22">
        <f>AVERAGE(G42:G71)</f>
        <v>4027.3</v>
      </c>
      <c r="H72" s="22">
        <f>AVERAGE(H42:H71)</f>
        <v>1229.3666666666666</v>
      </c>
      <c r="I72" s="22">
        <v>1078</v>
      </c>
      <c r="J72" s="22">
        <f>AVERAGE(J42:J71)</f>
        <v>2588.7666666666669</v>
      </c>
      <c r="K72" s="2"/>
      <c r="L72" s="22">
        <f>AVERAGE(L42:L71)</f>
        <v>1761.3</v>
      </c>
      <c r="M72" s="22">
        <f>AVERAGE(M42:M71)</f>
        <v>1223.2666666666667</v>
      </c>
      <c r="N72" s="22">
        <v>674</v>
      </c>
      <c r="O72" s="22">
        <f>AVERAGE(O42:O71)</f>
        <v>2207.2333333333331</v>
      </c>
      <c r="P72" s="2"/>
      <c r="Q72" s="22">
        <f>AVERAGE(Q42:Q71)</f>
        <v>1444.2666666666667</v>
      </c>
      <c r="R72" s="22">
        <f>AVERAGE(R42:R71)</f>
        <v>1577.0666666666666</v>
      </c>
      <c r="S72" s="22">
        <v>707</v>
      </c>
      <c r="T72" s="22">
        <f>AVERAGE(T42:T71)</f>
        <v>1884.4666666666667</v>
      </c>
      <c r="U72" s="2"/>
      <c r="V72" s="11">
        <f>AVERAGE(V42:V71)</f>
        <v>1690.7333333333333</v>
      </c>
      <c r="W72" s="11">
        <f>AVERAGE(W42:W71)</f>
        <v>1974.8</v>
      </c>
      <c r="X72" s="11">
        <f>AVERAGE(X42:X71)</f>
        <v>813.66666666666663</v>
      </c>
      <c r="Y72" s="11">
        <f>AVERAGE(Y42:Y71)</f>
        <v>2203.3000000000002</v>
      </c>
      <c r="Z72" s="7"/>
    </row>
    <row r="73" spans="1:3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7"/>
      <c r="W73" s="7"/>
      <c r="X73" s="7"/>
      <c r="Y73" s="7"/>
      <c r="Z73" s="7"/>
    </row>
    <row r="74" spans="1:31" ht="15.75" thickBot="1">
      <c r="V74" s="7"/>
      <c r="W74" s="7"/>
      <c r="X74" s="7"/>
      <c r="Y74" s="7"/>
      <c r="Z74" s="7"/>
    </row>
    <row r="75" spans="1:31" s="7" customFormat="1" ht="16.5" customHeight="1" thickBot="1">
      <c r="B75" s="66" t="s">
        <v>39</v>
      </c>
      <c r="C75" s="67"/>
      <c r="D75" s="67"/>
      <c r="E75" s="68"/>
      <c r="G75" s="66" t="s">
        <v>39</v>
      </c>
      <c r="H75" s="67"/>
      <c r="I75" s="67"/>
      <c r="J75" s="68"/>
      <c r="L75" s="66" t="s">
        <v>39</v>
      </c>
      <c r="M75" s="67"/>
      <c r="N75" s="67"/>
      <c r="O75" s="68"/>
      <c r="Q75" s="66" t="s">
        <v>39</v>
      </c>
      <c r="R75" s="67"/>
      <c r="S75" s="67"/>
      <c r="T75" s="68"/>
      <c r="V75" s="66" t="s">
        <v>39</v>
      </c>
      <c r="W75" s="67"/>
      <c r="X75" s="67"/>
      <c r="Y75" s="68"/>
      <c r="AA75" s="20"/>
      <c r="AB75" s="20"/>
      <c r="AC75" s="20"/>
      <c r="AD75" s="20"/>
      <c r="AE75" s="20"/>
    </row>
    <row r="76" spans="1:31" s="7" customFormat="1" ht="13.5" customHeight="1" thickBot="1">
      <c r="B76" s="63" t="s">
        <v>16</v>
      </c>
      <c r="C76" s="64"/>
      <c r="D76" s="64"/>
      <c r="E76" s="65"/>
      <c r="G76" s="59" t="s">
        <v>17</v>
      </c>
      <c r="H76" s="59"/>
      <c r="I76" s="59"/>
      <c r="J76" s="59"/>
      <c r="L76" s="59" t="s">
        <v>18</v>
      </c>
      <c r="M76" s="59"/>
      <c r="N76" s="59"/>
      <c r="O76" s="59"/>
      <c r="Q76" s="59" t="s">
        <v>19</v>
      </c>
      <c r="R76" s="59"/>
      <c r="S76" s="59"/>
      <c r="T76" s="59"/>
      <c r="V76" s="59" t="s">
        <v>20</v>
      </c>
      <c r="W76" s="59"/>
      <c r="X76" s="59"/>
      <c r="Y76" s="59"/>
      <c r="AA76" s="21"/>
      <c r="AB76" s="21"/>
      <c r="AC76" s="21"/>
      <c r="AD76" s="21"/>
      <c r="AE76" s="21"/>
    </row>
    <row r="77" spans="1:31" s="7" customFormat="1" ht="45.75" thickBot="1">
      <c r="B77" s="28" t="s">
        <v>6</v>
      </c>
      <c r="C77" s="44" t="s">
        <v>7</v>
      </c>
      <c r="D77" s="45" t="s">
        <v>8</v>
      </c>
      <c r="E77" s="43" t="s">
        <v>9</v>
      </c>
      <c r="G77" s="28" t="s">
        <v>6</v>
      </c>
      <c r="H77" s="44" t="s">
        <v>7</v>
      </c>
      <c r="I77" s="45" t="s">
        <v>8</v>
      </c>
      <c r="J77" s="43" t="s">
        <v>9</v>
      </c>
      <c r="L77" s="28" t="s">
        <v>6</v>
      </c>
      <c r="M77" s="44" t="s">
        <v>7</v>
      </c>
      <c r="N77" s="45" t="s">
        <v>8</v>
      </c>
      <c r="O77" s="43" t="s">
        <v>9</v>
      </c>
      <c r="Q77" s="28" t="s">
        <v>6</v>
      </c>
      <c r="R77" s="44" t="s">
        <v>7</v>
      </c>
      <c r="S77" s="45" t="s">
        <v>8</v>
      </c>
      <c r="T77" s="43" t="s">
        <v>9</v>
      </c>
      <c r="V77" s="28" t="s">
        <v>6</v>
      </c>
      <c r="W77" s="44" t="s">
        <v>7</v>
      </c>
      <c r="X77" s="43" t="s">
        <v>8</v>
      </c>
      <c r="Y77" s="43" t="s">
        <v>9</v>
      </c>
    </row>
    <row r="78" spans="1:31">
      <c r="B78" s="1">
        <v>477598</v>
      </c>
      <c r="C78" s="1">
        <v>112238</v>
      </c>
      <c r="D78" s="1">
        <v>234501</v>
      </c>
      <c r="E78" s="1">
        <v>429511</v>
      </c>
      <c r="F78" s="2"/>
      <c r="G78" s="1">
        <v>248003</v>
      </c>
      <c r="H78" s="1">
        <v>69880</v>
      </c>
      <c r="I78" s="1">
        <v>139779</v>
      </c>
      <c r="J78" s="1">
        <v>226252</v>
      </c>
      <c r="K78" s="2"/>
      <c r="L78" s="1">
        <v>131311</v>
      </c>
      <c r="M78" s="1">
        <v>95697</v>
      </c>
      <c r="N78" s="1">
        <v>87393</v>
      </c>
      <c r="O78" s="14">
        <v>143990</v>
      </c>
      <c r="P78" s="2"/>
      <c r="Q78" s="1">
        <v>125032</v>
      </c>
      <c r="R78" s="1">
        <v>174807</v>
      </c>
      <c r="S78" s="1">
        <v>49664</v>
      </c>
      <c r="T78" s="1">
        <v>90527</v>
      </c>
      <c r="U78" s="2"/>
      <c r="V78" s="9">
        <v>127328</v>
      </c>
      <c r="W78" s="9">
        <v>180398</v>
      </c>
      <c r="X78" s="9">
        <v>40481</v>
      </c>
      <c r="Y78" s="9">
        <v>77943</v>
      </c>
      <c r="Z78" s="7"/>
    </row>
    <row r="79" spans="1:31">
      <c r="B79" s="1">
        <v>489742</v>
      </c>
      <c r="C79" s="1">
        <v>112398</v>
      </c>
      <c r="D79" s="1">
        <v>235929</v>
      </c>
      <c r="E79" s="1">
        <v>410740</v>
      </c>
      <c r="F79" s="2"/>
      <c r="G79" s="1">
        <v>248251</v>
      </c>
      <c r="H79" s="1">
        <v>148896</v>
      </c>
      <c r="I79" s="1">
        <v>120264</v>
      </c>
      <c r="J79" s="1">
        <v>225373</v>
      </c>
      <c r="K79" s="2"/>
      <c r="L79" s="1">
        <v>125207</v>
      </c>
      <c r="M79" s="1">
        <v>174839</v>
      </c>
      <c r="N79" s="1">
        <v>79130</v>
      </c>
      <c r="O79" s="14">
        <v>138911</v>
      </c>
      <c r="P79" s="2"/>
      <c r="Q79" s="1">
        <v>124830</v>
      </c>
      <c r="R79" s="1">
        <v>108388</v>
      </c>
      <c r="S79" s="1">
        <v>45144</v>
      </c>
      <c r="T79" s="1">
        <v>94514</v>
      </c>
      <c r="U79" s="2"/>
      <c r="V79" s="9">
        <v>129348</v>
      </c>
      <c r="W79" s="9">
        <v>106060</v>
      </c>
      <c r="X79" s="9">
        <v>39153</v>
      </c>
      <c r="Y79" s="9">
        <v>80137</v>
      </c>
      <c r="Z79" s="7"/>
    </row>
    <row r="80" spans="1:31">
      <c r="B80" s="1">
        <v>487460</v>
      </c>
      <c r="C80" s="1">
        <v>113267</v>
      </c>
      <c r="D80" s="1">
        <v>232622</v>
      </c>
      <c r="E80" s="1">
        <v>397001</v>
      </c>
      <c r="F80" s="2"/>
      <c r="G80" s="1">
        <v>273145</v>
      </c>
      <c r="H80" s="1">
        <v>93305</v>
      </c>
      <c r="I80" s="1">
        <v>114269</v>
      </c>
      <c r="J80" s="1">
        <v>231087</v>
      </c>
      <c r="K80" s="2"/>
      <c r="L80" s="1">
        <v>126734</v>
      </c>
      <c r="M80" s="1">
        <v>95759</v>
      </c>
      <c r="N80" s="1">
        <v>70204</v>
      </c>
      <c r="O80" s="14">
        <v>140631</v>
      </c>
      <c r="P80" s="2"/>
      <c r="Q80" s="1">
        <v>131153</v>
      </c>
      <c r="R80" s="1">
        <v>86520</v>
      </c>
      <c r="S80" s="1">
        <v>45827</v>
      </c>
      <c r="T80" s="1">
        <v>94238</v>
      </c>
      <c r="U80" s="2"/>
      <c r="V80" s="9">
        <v>125350</v>
      </c>
      <c r="W80" s="9">
        <v>90319</v>
      </c>
      <c r="X80" s="9">
        <v>39738</v>
      </c>
      <c r="Y80" s="9">
        <v>83778</v>
      </c>
      <c r="Z80" s="7"/>
    </row>
    <row r="81" spans="2:26">
      <c r="B81" s="1">
        <v>482849</v>
      </c>
      <c r="C81" s="1">
        <v>112227</v>
      </c>
      <c r="D81" s="1">
        <v>235002</v>
      </c>
      <c r="E81" s="1">
        <v>408377</v>
      </c>
      <c r="F81" s="2"/>
      <c r="G81" s="1">
        <v>264629</v>
      </c>
      <c r="H81" s="1">
        <v>112591</v>
      </c>
      <c r="I81" s="1">
        <v>119567</v>
      </c>
      <c r="J81" s="1">
        <v>227430</v>
      </c>
      <c r="K81" s="2"/>
      <c r="L81" s="1">
        <v>132730</v>
      </c>
      <c r="M81" s="1">
        <v>93843</v>
      </c>
      <c r="N81" s="1">
        <v>82543</v>
      </c>
      <c r="O81" s="14">
        <v>145452</v>
      </c>
      <c r="P81" s="2"/>
      <c r="Q81" s="1">
        <v>131845</v>
      </c>
      <c r="R81" s="1">
        <v>171969</v>
      </c>
      <c r="S81" s="1">
        <v>46252</v>
      </c>
      <c r="T81" s="1">
        <v>95417</v>
      </c>
      <c r="U81" s="2"/>
      <c r="V81" s="9">
        <v>125621</v>
      </c>
      <c r="W81" s="9">
        <v>172362</v>
      </c>
      <c r="X81" s="9">
        <v>38853</v>
      </c>
      <c r="Y81" s="9">
        <v>75577</v>
      </c>
      <c r="Z81" s="7"/>
    </row>
    <row r="82" spans="2:26">
      <c r="B82" s="1">
        <v>499863</v>
      </c>
      <c r="C82" s="1">
        <v>112100</v>
      </c>
      <c r="D82" s="1">
        <v>233224</v>
      </c>
      <c r="E82" s="1">
        <v>427133</v>
      </c>
      <c r="F82" s="2"/>
      <c r="G82" s="1">
        <v>252312</v>
      </c>
      <c r="H82" s="1">
        <v>90872</v>
      </c>
      <c r="I82" s="1">
        <v>114530</v>
      </c>
      <c r="J82" s="1">
        <v>220754</v>
      </c>
      <c r="K82" s="2"/>
      <c r="L82" s="1">
        <v>130909</v>
      </c>
      <c r="M82" s="1">
        <v>93019</v>
      </c>
      <c r="N82" s="1">
        <v>66819</v>
      </c>
      <c r="O82" s="14">
        <v>136069</v>
      </c>
      <c r="P82" s="2"/>
      <c r="Q82" s="1">
        <v>125255</v>
      </c>
      <c r="R82" s="1">
        <v>99588</v>
      </c>
      <c r="S82" s="1">
        <v>48170</v>
      </c>
      <c r="T82" s="1">
        <v>95506</v>
      </c>
      <c r="U82" s="2"/>
      <c r="V82" s="9">
        <v>123301</v>
      </c>
      <c r="W82" s="9">
        <v>94200</v>
      </c>
      <c r="X82" s="9">
        <v>40118</v>
      </c>
      <c r="Y82" s="9">
        <v>80653</v>
      </c>
      <c r="Z82" s="7"/>
    </row>
    <row r="83" spans="2:26">
      <c r="B83" s="1">
        <v>480036</v>
      </c>
      <c r="C83" s="1">
        <v>114678</v>
      </c>
      <c r="D83" s="1">
        <v>241472</v>
      </c>
      <c r="E83" s="1">
        <v>375923</v>
      </c>
      <c r="F83" s="2"/>
      <c r="G83" s="1">
        <v>262841</v>
      </c>
      <c r="H83" s="1">
        <v>152845</v>
      </c>
      <c r="I83" s="1">
        <v>120721</v>
      </c>
      <c r="J83" s="1">
        <v>248764</v>
      </c>
      <c r="K83" s="2"/>
      <c r="L83" s="1">
        <v>125072</v>
      </c>
      <c r="M83" s="1">
        <v>110642</v>
      </c>
      <c r="N83" s="1">
        <v>74690</v>
      </c>
      <c r="O83" s="14">
        <v>142727</v>
      </c>
      <c r="P83" s="2"/>
      <c r="Q83" s="1">
        <v>126260</v>
      </c>
      <c r="R83" s="1">
        <v>93465</v>
      </c>
      <c r="S83" s="1">
        <v>46251</v>
      </c>
      <c r="T83" s="1">
        <v>98002</v>
      </c>
      <c r="U83" s="2"/>
      <c r="V83" s="9">
        <v>124271</v>
      </c>
      <c r="W83" s="9">
        <v>182321</v>
      </c>
      <c r="X83" s="9">
        <v>39461</v>
      </c>
      <c r="Y83" s="9">
        <v>80284</v>
      </c>
      <c r="Z83" s="7"/>
    </row>
    <row r="84" spans="2:26">
      <c r="B84" s="1">
        <v>501555</v>
      </c>
      <c r="C84" s="1">
        <v>117594</v>
      </c>
      <c r="D84" s="1">
        <v>235567</v>
      </c>
      <c r="E84" s="1">
        <v>366372</v>
      </c>
      <c r="F84" s="2"/>
      <c r="G84" s="1">
        <v>249573</v>
      </c>
      <c r="H84" s="1">
        <v>96818</v>
      </c>
      <c r="I84" s="1">
        <v>112723</v>
      </c>
      <c r="J84" s="1">
        <v>231844</v>
      </c>
      <c r="K84" s="2"/>
      <c r="L84" s="1">
        <v>125987</v>
      </c>
      <c r="M84" s="1">
        <v>111130</v>
      </c>
      <c r="N84" s="1">
        <v>75655</v>
      </c>
      <c r="O84" s="14">
        <v>131341</v>
      </c>
      <c r="P84" s="2"/>
      <c r="Q84" s="1">
        <v>126537</v>
      </c>
      <c r="R84" s="1">
        <v>106247</v>
      </c>
      <c r="S84" s="1">
        <v>48010</v>
      </c>
      <c r="T84" s="1">
        <v>92208</v>
      </c>
      <c r="U84" s="2"/>
      <c r="V84" s="9">
        <v>122670</v>
      </c>
      <c r="W84" s="9">
        <v>96733</v>
      </c>
      <c r="X84" s="9">
        <v>38637</v>
      </c>
      <c r="Y84" s="9">
        <v>80518</v>
      </c>
      <c r="Z84" s="7"/>
    </row>
    <row r="85" spans="2:26">
      <c r="B85" s="1">
        <v>494364</v>
      </c>
      <c r="C85" s="1">
        <v>123237</v>
      </c>
      <c r="D85" s="1">
        <v>236448</v>
      </c>
      <c r="E85" s="1">
        <v>373294</v>
      </c>
      <c r="F85" s="2"/>
      <c r="G85" s="1">
        <v>249822</v>
      </c>
      <c r="H85" s="1">
        <v>107410</v>
      </c>
      <c r="I85" s="1">
        <v>120668</v>
      </c>
      <c r="J85" s="1">
        <v>232690</v>
      </c>
      <c r="K85" s="2"/>
      <c r="L85" s="1">
        <v>127101</v>
      </c>
      <c r="M85" s="1">
        <v>99199</v>
      </c>
      <c r="N85" s="1">
        <v>69931</v>
      </c>
      <c r="O85" s="14">
        <v>140965</v>
      </c>
      <c r="P85" s="2"/>
      <c r="Q85" s="1">
        <v>122092</v>
      </c>
      <c r="R85" s="1">
        <v>98454</v>
      </c>
      <c r="S85" s="1">
        <v>48059</v>
      </c>
      <c r="T85" s="1">
        <v>90102</v>
      </c>
      <c r="U85" s="2"/>
      <c r="V85" s="9">
        <v>126937</v>
      </c>
      <c r="W85" s="9">
        <v>178058</v>
      </c>
      <c r="X85" s="9">
        <v>38810</v>
      </c>
      <c r="Y85" s="9">
        <v>80850</v>
      </c>
      <c r="Z85" s="7"/>
    </row>
    <row r="86" spans="2:26">
      <c r="B86" s="1">
        <v>488155</v>
      </c>
      <c r="C86" s="1">
        <v>113121</v>
      </c>
      <c r="D86" s="1">
        <v>235212</v>
      </c>
      <c r="E86" s="1">
        <v>377207</v>
      </c>
      <c r="F86" s="2"/>
      <c r="G86" s="1">
        <v>247094</v>
      </c>
      <c r="H86" s="1">
        <v>92682</v>
      </c>
      <c r="I86" s="1">
        <v>119813</v>
      </c>
      <c r="J86" s="1">
        <v>230164</v>
      </c>
      <c r="K86" s="2"/>
      <c r="L86" s="1">
        <v>135152</v>
      </c>
      <c r="M86" s="1">
        <v>88789</v>
      </c>
      <c r="N86" s="1">
        <v>75356</v>
      </c>
      <c r="O86" s="14">
        <v>129972</v>
      </c>
      <c r="P86" s="2"/>
      <c r="Q86" s="1">
        <v>124154</v>
      </c>
      <c r="R86" s="1">
        <v>181755</v>
      </c>
      <c r="S86" s="1">
        <v>47343</v>
      </c>
      <c r="T86" s="1">
        <v>93245</v>
      </c>
      <c r="U86" s="2"/>
      <c r="V86" s="9">
        <v>126606</v>
      </c>
      <c r="W86" s="9">
        <v>95204</v>
      </c>
      <c r="X86" s="9">
        <v>40206</v>
      </c>
      <c r="Y86" s="9">
        <v>80055</v>
      </c>
      <c r="Z86" s="7"/>
    </row>
    <row r="87" spans="2:26">
      <c r="B87" s="1">
        <v>524505</v>
      </c>
      <c r="C87" s="1">
        <v>110110</v>
      </c>
      <c r="D87" s="1">
        <v>230954</v>
      </c>
      <c r="E87" s="1">
        <v>414476</v>
      </c>
      <c r="F87" s="2"/>
      <c r="G87" s="1">
        <v>248078</v>
      </c>
      <c r="H87" s="1">
        <v>152313</v>
      </c>
      <c r="I87" s="1">
        <v>133312</v>
      </c>
      <c r="J87" s="1">
        <v>222044</v>
      </c>
      <c r="K87" s="2"/>
      <c r="L87" s="1">
        <v>130372</v>
      </c>
      <c r="M87" s="1">
        <v>104743</v>
      </c>
      <c r="N87" s="1">
        <v>81046</v>
      </c>
      <c r="O87" s="14">
        <v>137686</v>
      </c>
      <c r="P87" s="2"/>
      <c r="Q87" s="1">
        <v>122557</v>
      </c>
      <c r="R87" s="1">
        <v>104159</v>
      </c>
      <c r="S87" s="1">
        <v>48737</v>
      </c>
      <c r="T87" s="1">
        <v>91301</v>
      </c>
      <c r="U87" s="2"/>
      <c r="V87" s="9">
        <v>131413</v>
      </c>
      <c r="W87" s="9">
        <v>103102</v>
      </c>
      <c r="X87" s="9">
        <v>38743</v>
      </c>
      <c r="Y87" s="9">
        <v>80508</v>
      </c>
      <c r="Z87" s="7"/>
    </row>
    <row r="88" spans="2:26">
      <c r="B88" s="1">
        <v>498664</v>
      </c>
      <c r="C88" s="1">
        <v>112310</v>
      </c>
      <c r="D88" s="1">
        <v>229803</v>
      </c>
      <c r="E88" s="1">
        <v>411942</v>
      </c>
      <c r="F88" s="2"/>
      <c r="G88" s="1">
        <v>252120</v>
      </c>
      <c r="H88" s="1">
        <v>100339</v>
      </c>
      <c r="I88" s="1">
        <v>130361</v>
      </c>
      <c r="J88" s="1">
        <v>230467</v>
      </c>
      <c r="K88" s="2"/>
      <c r="L88" s="1">
        <v>122217</v>
      </c>
      <c r="M88" s="1">
        <v>114800</v>
      </c>
      <c r="N88" s="1">
        <v>66531</v>
      </c>
      <c r="O88" s="14">
        <v>132373</v>
      </c>
      <c r="P88" s="2"/>
      <c r="Q88" s="1">
        <v>122157</v>
      </c>
      <c r="R88" s="1">
        <v>78749</v>
      </c>
      <c r="S88" s="1">
        <v>46289</v>
      </c>
      <c r="T88" s="1">
        <v>90387</v>
      </c>
      <c r="U88" s="2"/>
      <c r="V88" s="9">
        <v>126346</v>
      </c>
      <c r="W88" s="9">
        <v>171645</v>
      </c>
      <c r="X88" s="9">
        <v>38346</v>
      </c>
      <c r="Y88" s="9">
        <v>80537</v>
      </c>
      <c r="Z88" s="7"/>
    </row>
    <row r="89" spans="2:26">
      <c r="B89" s="1">
        <v>479744</v>
      </c>
      <c r="C89" s="1">
        <v>113137</v>
      </c>
      <c r="D89" s="1">
        <v>228358</v>
      </c>
      <c r="E89" s="1">
        <v>393261</v>
      </c>
      <c r="F89" s="2"/>
      <c r="G89" s="1">
        <v>242311</v>
      </c>
      <c r="H89" s="1">
        <v>100443</v>
      </c>
      <c r="I89" s="1">
        <v>120787</v>
      </c>
      <c r="J89" s="1">
        <v>223297</v>
      </c>
      <c r="K89" s="2"/>
      <c r="L89" s="1">
        <v>137867</v>
      </c>
      <c r="M89" s="1">
        <v>159446</v>
      </c>
      <c r="N89" s="1">
        <v>86378</v>
      </c>
      <c r="O89" s="14">
        <v>136577</v>
      </c>
      <c r="P89" s="2"/>
      <c r="Q89" s="1">
        <v>125127</v>
      </c>
      <c r="R89" s="1">
        <v>103490</v>
      </c>
      <c r="S89" s="1">
        <v>47118</v>
      </c>
      <c r="T89" s="1">
        <v>90525</v>
      </c>
      <c r="U89" s="2"/>
      <c r="V89" s="9">
        <v>129863</v>
      </c>
      <c r="W89" s="9">
        <v>99353</v>
      </c>
      <c r="X89" s="9">
        <v>39402</v>
      </c>
      <c r="Y89" s="9">
        <v>80243</v>
      </c>
      <c r="Z89" s="7"/>
    </row>
    <row r="90" spans="2:26">
      <c r="B90" s="1">
        <v>494530</v>
      </c>
      <c r="C90" s="1">
        <v>111251</v>
      </c>
      <c r="D90" s="1">
        <v>229906</v>
      </c>
      <c r="E90" s="1">
        <v>391874</v>
      </c>
      <c r="F90" s="2"/>
      <c r="G90" s="1">
        <v>252705</v>
      </c>
      <c r="H90" s="1">
        <v>104084</v>
      </c>
      <c r="I90" s="1">
        <v>136481</v>
      </c>
      <c r="J90" s="1">
        <v>226946</v>
      </c>
      <c r="K90" s="2"/>
      <c r="L90" s="1">
        <v>128384</v>
      </c>
      <c r="M90" s="1">
        <v>97834</v>
      </c>
      <c r="N90" s="1">
        <v>79551</v>
      </c>
      <c r="O90" s="14">
        <v>134966</v>
      </c>
      <c r="P90" s="2"/>
      <c r="Q90" s="1">
        <v>128056</v>
      </c>
      <c r="R90" s="1">
        <v>107416</v>
      </c>
      <c r="S90" s="1">
        <v>47886</v>
      </c>
      <c r="T90" s="1">
        <v>85135</v>
      </c>
      <c r="U90" s="2"/>
      <c r="V90" s="9">
        <v>121401</v>
      </c>
      <c r="W90" s="9">
        <v>176935</v>
      </c>
      <c r="X90" s="9">
        <v>39385</v>
      </c>
      <c r="Y90" s="9">
        <v>86505</v>
      </c>
      <c r="Z90" s="7"/>
    </row>
    <row r="91" spans="2:26">
      <c r="B91" s="1">
        <v>489271</v>
      </c>
      <c r="C91" s="1">
        <v>112776</v>
      </c>
      <c r="D91" s="1">
        <v>229104</v>
      </c>
      <c r="E91" s="1">
        <v>399421</v>
      </c>
      <c r="F91" s="2"/>
      <c r="G91" s="1">
        <v>257235</v>
      </c>
      <c r="H91" s="1">
        <v>94175</v>
      </c>
      <c r="I91" s="1">
        <v>113126</v>
      </c>
      <c r="J91" s="1">
        <v>224171</v>
      </c>
      <c r="K91" s="2"/>
      <c r="L91" s="1">
        <v>130210</v>
      </c>
      <c r="M91" s="1">
        <v>110457</v>
      </c>
      <c r="N91" s="1">
        <v>80890</v>
      </c>
      <c r="O91" s="14">
        <v>138661</v>
      </c>
      <c r="P91" s="2"/>
      <c r="Q91" s="1">
        <v>121025</v>
      </c>
      <c r="R91" s="1">
        <v>163384</v>
      </c>
      <c r="S91" s="1">
        <v>48529</v>
      </c>
      <c r="T91" s="1">
        <v>93451</v>
      </c>
      <c r="U91" s="2"/>
      <c r="V91" s="9">
        <v>127356</v>
      </c>
      <c r="W91" s="9">
        <v>99002</v>
      </c>
      <c r="X91" s="9">
        <v>39987</v>
      </c>
      <c r="Y91" s="9">
        <v>81010</v>
      </c>
      <c r="Z91" s="7"/>
    </row>
    <row r="92" spans="2:26">
      <c r="B92" s="1">
        <v>488813</v>
      </c>
      <c r="C92" s="1">
        <v>114309</v>
      </c>
      <c r="D92" s="1">
        <v>230272</v>
      </c>
      <c r="E92" s="1">
        <v>397917</v>
      </c>
      <c r="F92" s="2"/>
      <c r="G92" s="1">
        <v>250095</v>
      </c>
      <c r="H92" s="1">
        <v>150079</v>
      </c>
      <c r="I92" s="1">
        <v>137809</v>
      </c>
      <c r="J92" s="1">
        <v>246100</v>
      </c>
      <c r="K92" s="2"/>
      <c r="L92" s="1">
        <v>124614</v>
      </c>
      <c r="M92" s="1">
        <v>108690</v>
      </c>
      <c r="N92" s="1">
        <v>87961</v>
      </c>
      <c r="O92" s="14">
        <v>133318</v>
      </c>
      <c r="P92" s="2"/>
      <c r="Q92" s="1">
        <v>130336</v>
      </c>
      <c r="R92" s="1">
        <v>98494</v>
      </c>
      <c r="S92" s="1">
        <v>46055</v>
      </c>
      <c r="T92" s="1">
        <v>110562</v>
      </c>
      <c r="U92" s="2"/>
      <c r="V92" s="9">
        <v>125531</v>
      </c>
      <c r="W92" s="9">
        <v>186572</v>
      </c>
      <c r="X92" s="9">
        <v>39027</v>
      </c>
      <c r="Y92" s="9">
        <v>78686</v>
      </c>
      <c r="Z92" s="7"/>
    </row>
    <row r="93" spans="2:26">
      <c r="B93" s="1">
        <v>490598</v>
      </c>
      <c r="C93" s="1">
        <v>113712</v>
      </c>
      <c r="D93" s="1">
        <v>228471</v>
      </c>
      <c r="E93" s="1">
        <v>406914</v>
      </c>
      <c r="F93" s="2"/>
      <c r="G93" s="1">
        <v>242659</v>
      </c>
      <c r="H93" s="1">
        <v>100428</v>
      </c>
      <c r="I93" s="1">
        <v>125906</v>
      </c>
      <c r="J93" s="1">
        <v>230336</v>
      </c>
      <c r="K93" s="2"/>
      <c r="L93" s="1">
        <v>133864</v>
      </c>
      <c r="M93" s="1">
        <v>107798</v>
      </c>
      <c r="N93" s="1">
        <v>91036</v>
      </c>
      <c r="O93" s="14">
        <v>138302</v>
      </c>
      <c r="P93" s="2"/>
      <c r="Q93" s="1">
        <v>123686</v>
      </c>
      <c r="R93" s="1">
        <v>101961</v>
      </c>
      <c r="S93" s="1">
        <v>47243</v>
      </c>
      <c r="T93" s="1">
        <v>96241</v>
      </c>
      <c r="U93" s="2"/>
      <c r="V93" s="9">
        <v>123411</v>
      </c>
      <c r="W93" s="9">
        <v>89722</v>
      </c>
      <c r="X93" s="9">
        <v>38999</v>
      </c>
      <c r="Y93" s="9">
        <v>76368</v>
      </c>
      <c r="Z93" s="7"/>
    </row>
    <row r="94" spans="2:26">
      <c r="B94" s="1">
        <v>496465</v>
      </c>
      <c r="C94" s="1">
        <v>122401</v>
      </c>
      <c r="D94" s="1">
        <v>232008</v>
      </c>
      <c r="E94" s="1">
        <v>420868</v>
      </c>
      <c r="F94" s="2"/>
      <c r="G94" s="1">
        <v>245640</v>
      </c>
      <c r="H94" s="1">
        <v>99311</v>
      </c>
      <c r="I94" s="1">
        <v>117764</v>
      </c>
      <c r="J94" s="1">
        <v>222799</v>
      </c>
      <c r="K94" s="2"/>
      <c r="L94" s="1">
        <v>127310</v>
      </c>
      <c r="M94" s="1">
        <v>76665</v>
      </c>
      <c r="N94" s="1">
        <v>71277</v>
      </c>
      <c r="O94" s="14">
        <v>129537</v>
      </c>
      <c r="P94" s="2"/>
      <c r="Q94" s="1">
        <v>120400</v>
      </c>
      <c r="R94" s="1">
        <v>140981</v>
      </c>
      <c r="S94" s="1">
        <v>44460</v>
      </c>
      <c r="T94" s="1">
        <v>85932</v>
      </c>
      <c r="U94" s="2"/>
      <c r="V94" s="9">
        <v>130388</v>
      </c>
      <c r="W94" s="9">
        <v>171189</v>
      </c>
      <c r="X94" s="9">
        <v>39992</v>
      </c>
      <c r="Y94" s="9">
        <v>77305</v>
      </c>
      <c r="Z94" s="7"/>
    </row>
    <row r="95" spans="2:26">
      <c r="B95" s="1">
        <v>485588</v>
      </c>
      <c r="C95" s="1">
        <v>111712</v>
      </c>
      <c r="D95" s="1">
        <v>227942</v>
      </c>
      <c r="E95" s="1">
        <v>411455</v>
      </c>
      <c r="F95" s="2"/>
      <c r="G95" s="1">
        <v>266839</v>
      </c>
      <c r="H95" s="1">
        <v>99079</v>
      </c>
      <c r="I95" s="1">
        <v>121545</v>
      </c>
      <c r="J95" s="1">
        <v>232702</v>
      </c>
      <c r="K95" s="2"/>
      <c r="L95" s="1">
        <v>127608</v>
      </c>
      <c r="M95" s="1">
        <v>89142</v>
      </c>
      <c r="N95" s="1">
        <v>75559</v>
      </c>
      <c r="O95" s="14">
        <v>130648</v>
      </c>
      <c r="P95" s="2"/>
      <c r="Q95" s="1">
        <v>124563</v>
      </c>
      <c r="R95" s="1">
        <v>99614</v>
      </c>
      <c r="S95" s="1">
        <v>49377</v>
      </c>
      <c r="T95" s="1">
        <v>86234</v>
      </c>
      <c r="U95" s="2"/>
      <c r="V95" s="9">
        <v>124489</v>
      </c>
      <c r="W95" s="9">
        <v>95911</v>
      </c>
      <c r="X95" s="9">
        <v>40293</v>
      </c>
      <c r="Y95" s="9">
        <v>81508</v>
      </c>
      <c r="Z95" s="7"/>
    </row>
    <row r="96" spans="2:26">
      <c r="B96" s="1">
        <v>487828</v>
      </c>
      <c r="C96" s="1">
        <v>112402</v>
      </c>
      <c r="D96" s="1">
        <v>238445</v>
      </c>
      <c r="E96" s="1">
        <v>398578</v>
      </c>
      <c r="F96" s="2"/>
      <c r="G96" s="1">
        <v>247231</v>
      </c>
      <c r="H96" s="1">
        <v>104980</v>
      </c>
      <c r="I96" s="1">
        <v>128678</v>
      </c>
      <c r="J96" s="1">
        <v>219965</v>
      </c>
      <c r="K96" s="2"/>
      <c r="L96" s="1">
        <v>129165</v>
      </c>
      <c r="M96" s="1">
        <v>167014</v>
      </c>
      <c r="N96" s="1">
        <v>76912</v>
      </c>
      <c r="O96" s="14">
        <v>141752</v>
      </c>
      <c r="P96" s="2"/>
      <c r="Q96" s="1">
        <v>126648</v>
      </c>
      <c r="R96" s="1">
        <v>95368</v>
      </c>
      <c r="S96" s="1">
        <v>49036</v>
      </c>
      <c r="T96" s="1">
        <v>89732</v>
      </c>
      <c r="U96" s="2"/>
      <c r="V96" s="9">
        <v>126808</v>
      </c>
      <c r="W96" s="9">
        <v>99005</v>
      </c>
      <c r="X96" s="9">
        <v>39116</v>
      </c>
      <c r="Y96" s="9">
        <v>77971</v>
      </c>
      <c r="Z96" s="7"/>
    </row>
    <row r="97" spans="1:31">
      <c r="B97" s="1">
        <v>485569</v>
      </c>
      <c r="C97" s="1">
        <v>111098</v>
      </c>
      <c r="D97" s="1">
        <v>229274</v>
      </c>
      <c r="E97" s="1">
        <v>392971</v>
      </c>
      <c r="F97" s="2"/>
      <c r="G97" s="1">
        <v>248433</v>
      </c>
      <c r="H97" s="1">
        <v>147112</v>
      </c>
      <c r="I97" s="1">
        <v>132291</v>
      </c>
      <c r="J97" s="1">
        <v>229205</v>
      </c>
      <c r="K97" s="2"/>
      <c r="L97" s="1">
        <v>126765</v>
      </c>
      <c r="M97" s="1">
        <v>86045</v>
      </c>
      <c r="N97" s="1">
        <v>88491</v>
      </c>
      <c r="O97" s="14">
        <v>143108</v>
      </c>
      <c r="P97" s="2"/>
      <c r="Q97" s="1">
        <v>126321</v>
      </c>
      <c r="R97" s="1">
        <v>178244</v>
      </c>
      <c r="S97" s="1">
        <v>47787</v>
      </c>
      <c r="T97" s="1">
        <v>87521</v>
      </c>
      <c r="U97" s="2"/>
      <c r="V97" s="9">
        <v>143910</v>
      </c>
      <c r="W97" s="9">
        <v>171907</v>
      </c>
      <c r="X97" s="9">
        <v>39473</v>
      </c>
      <c r="Y97" s="9">
        <v>78812</v>
      </c>
      <c r="Z97" s="7"/>
    </row>
    <row r="98" spans="1:31">
      <c r="B98" s="1">
        <v>485556</v>
      </c>
      <c r="C98" s="1">
        <v>113832</v>
      </c>
      <c r="D98" s="1">
        <v>229909</v>
      </c>
      <c r="E98" s="1">
        <v>427502</v>
      </c>
      <c r="F98" s="2"/>
      <c r="G98" s="1">
        <v>252955</v>
      </c>
      <c r="H98" s="1">
        <v>106562</v>
      </c>
      <c r="I98" s="1">
        <v>117793</v>
      </c>
      <c r="J98" s="1">
        <v>226645</v>
      </c>
      <c r="K98" s="2"/>
      <c r="L98" s="1">
        <v>123029</v>
      </c>
      <c r="M98" s="1">
        <v>98197</v>
      </c>
      <c r="N98" s="1">
        <v>70229</v>
      </c>
      <c r="O98" s="14">
        <v>143038</v>
      </c>
      <c r="P98" s="2"/>
      <c r="Q98" s="1">
        <v>126395</v>
      </c>
      <c r="R98" s="1">
        <v>96831</v>
      </c>
      <c r="S98" s="1">
        <v>48006</v>
      </c>
      <c r="T98" s="1">
        <v>87489</v>
      </c>
      <c r="U98" s="2"/>
      <c r="V98" s="9">
        <v>148691</v>
      </c>
      <c r="W98" s="9">
        <v>99266</v>
      </c>
      <c r="X98" s="9">
        <v>39763</v>
      </c>
      <c r="Y98" s="9">
        <v>80627</v>
      </c>
      <c r="Z98" s="7"/>
    </row>
    <row r="99" spans="1:31">
      <c r="B99" s="1">
        <v>481695</v>
      </c>
      <c r="C99" s="1">
        <v>124711</v>
      </c>
      <c r="D99" s="1">
        <v>226798</v>
      </c>
      <c r="E99" s="1">
        <v>404966</v>
      </c>
      <c r="F99" s="2"/>
      <c r="G99" s="1">
        <v>259008</v>
      </c>
      <c r="H99" s="1">
        <v>96243</v>
      </c>
      <c r="I99" s="1">
        <v>121553</v>
      </c>
      <c r="J99" s="1">
        <v>-1762602</v>
      </c>
      <c r="K99" s="2"/>
      <c r="L99" s="1">
        <v>136341</v>
      </c>
      <c r="M99" s="1">
        <v>181620</v>
      </c>
      <c r="N99" s="1">
        <v>75782</v>
      </c>
      <c r="O99" s="14">
        <v>149200</v>
      </c>
      <c r="P99" s="2"/>
      <c r="Q99" s="1">
        <v>123247</v>
      </c>
      <c r="R99" s="1">
        <v>98551</v>
      </c>
      <c r="S99" s="1">
        <v>48506</v>
      </c>
      <c r="T99" s="1">
        <v>87212</v>
      </c>
      <c r="U99" s="2"/>
      <c r="V99" s="9">
        <v>125794</v>
      </c>
      <c r="W99" s="9">
        <v>179144</v>
      </c>
      <c r="X99" s="9">
        <v>39019</v>
      </c>
      <c r="Y99" s="9">
        <v>75740</v>
      </c>
      <c r="Z99" s="7"/>
    </row>
    <row r="100" spans="1:31">
      <c r="B100" s="1">
        <v>486549</v>
      </c>
      <c r="C100" s="1">
        <v>114822</v>
      </c>
      <c r="D100" s="1">
        <v>232114</v>
      </c>
      <c r="E100" s="1">
        <v>386917</v>
      </c>
      <c r="F100" s="2"/>
      <c r="G100" s="1">
        <v>252355</v>
      </c>
      <c r="H100" s="1">
        <v>97632</v>
      </c>
      <c r="I100" s="1">
        <v>121366</v>
      </c>
      <c r="J100" s="1">
        <v>224775</v>
      </c>
      <c r="K100" s="2"/>
      <c r="L100" s="1">
        <v>134677</v>
      </c>
      <c r="M100" s="1">
        <v>159206</v>
      </c>
      <c r="N100" s="1">
        <v>77222</v>
      </c>
      <c r="O100" s="14">
        <v>140753</v>
      </c>
      <c r="P100" s="2"/>
      <c r="Q100" s="1">
        <v>123191</v>
      </c>
      <c r="R100" s="1">
        <v>111190</v>
      </c>
      <c r="S100" s="1">
        <v>46503</v>
      </c>
      <c r="T100" s="1">
        <v>86390</v>
      </c>
      <c r="U100" s="2"/>
      <c r="V100" s="9">
        <v>131101</v>
      </c>
      <c r="W100" s="9">
        <v>106115</v>
      </c>
      <c r="X100" s="9">
        <v>38937</v>
      </c>
      <c r="Y100" s="9">
        <v>74935</v>
      </c>
      <c r="Z100" s="7"/>
    </row>
    <row r="101" spans="1:31">
      <c r="B101" s="1">
        <v>496049</v>
      </c>
      <c r="C101" s="1">
        <v>114157</v>
      </c>
      <c r="D101" s="1">
        <v>226273</v>
      </c>
      <c r="E101" s="1">
        <v>383027</v>
      </c>
      <c r="F101" s="2"/>
      <c r="G101" s="1">
        <v>266100</v>
      </c>
      <c r="H101" s="1">
        <v>99653</v>
      </c>
      <c r="I101" s="1">
        <v>112600</v>
      </c>
      <c r="J101" s="1">
        <v>228990</v>
      </c>
      <c r="K101" s="2"/>
      <c r="L101" s="1">
        <v>130906</v>
      </c>
      <c r="M101" s="1">
        <v>123663</v>
      </c>
      <c r="N101" s="1">
        <v>77893</v>
      </c>
      <c r="O101" s="14">
        <v>139939</v>
      </c>
      <c r="P101" s="2"/>
      <c r="Q101" s="1">
        <v>122347</v>
      </c>
      <c r="R101" s="1">
        <v>99029</v>
      </c>
      <c r="S101" s="1">
        <v>45586</v>
      </c>
      <c r="T101" s="1">
        <v>87731</v>
      </c>
      <c r="U101" s="2"/>
      <c r="V101" s="9">
        <v>126276</v>
      </c>
      <c r="W101" s="9">
        <v>92182</v>
      </c>
      <c r="X101" s="9">
        <v>40636</v>
      </c>
      <c r="Y101" s="9">
        <v>72667</v>
      </c>
      <c r="Z101" s="7"/>
    </row>
    <row r="102" spans="1:31">
      <c r="B102" s="1">
        <v>496531</v>
      </c>
      <c r="C102" s="1">
        <v>121048</v>
      </c>
      <c r="D102" s="1">
        <v>231197</v>
      </c>
      <c r="E102" s="1">
        <v>370028</v>
      </c>
      <c r="F102" s="2"/>
      <c r="G102" s="1">
        <v>250899</v>
      </c>
      <c r="H102" s="1">
        <v>152909</v>
      </c>
      <c r="I102" s="1">
        <v>122053</v>
      </c>
      <c r="J102" s="1">
        <v>226026</v>
      </c>
      <c r="K102" s="2"/>
      <c r="L102" s="1">
        <v>127913</v>
      </c>
      <c r="M102" s="1">
        <v>120871</v>
      </c>
      <c r="N102" s="1">
        <v>78195</v>
      </c>
      <c r="O102" s="14">
        <v>138690</v>
      </c>
      <c r="P102" s="2"/>
      <c r="Q102" s="1">
        <v>123115</v>
      </c>
      <c r="R102" s="1">
        <v>168517</v>
      </c>
      <c r="S102" s="1">
        <v>47679</v>
      </c>
      <c r="T102" s="1">
        <v>87709</v>
      </c>
      <c r="U102" s="2"/>
      <c r="V102" s="9">
        <v>125815</v>
      </c>
      <c r="W102" s="9">
        <v>181939</v>
      </c>
      <c r="X102" s="9">
        <v>39260</v>
      </c>
      <c r="Y102" s="9">
        <v>71589</v>
      </c>
      <c r="Z102" s="7"/>
    </row>
    <row r="103" spans="1:31">
      <c r="B103" s="1">
        <v>494489</v>
      </c>
      <c r="C103" s="1">
        <v>114431</v>
      </c>
      <c r="D103" s="1">
        <v>224315</v>
      </c>
      <c r="E103" s="1">
        <v>384052</v>
      </c>
      <c r="F103" s="2"/>
      <c r="G103" s="1">
        <v>262888</v>
      </c>
      <c r="H103" s="1">
        <v>100759</v>
      </c>
      <c r="I103" s="1">
        <v>128370</v>
      </c>
      <c r="J103" s="1">
        <v>219970</v>
      </c>
      <c r="K103" s="2"/>
      <c r="L103" s="1">
        <v>127481</v>
      </c>
      <c r="M103" s="1">
        <v>105066</v>
      </c>
      <c r="N103" s="1">
        <v>73153</v>
      </c>
      <c r="O103" s="14">
        <v>141968</v>
      </c>
      <c r="P103" s="2"/>
      <c r="Q103" s="1">
        <v>123585</v>
      </c>
      <c r="R103" s="1">
        <v>96120</v>
      </c>
      <c r="S103" s="1">
        <v>50069</v>
      </c>
      <c r="T103" s="1">
        <v>91654</v>
      </c>
      <c r="U103" s="2"/>
      <c r="V103" s="9">
        <v>124650</v>
      </c>
      <c r="W103" s="9">
        <v>89033</v>
      </c>
      <c r="X103" s="9">
        <v>38997</v>
      </c>
      <c r="Y103" s="9">
        <v>76229</v>
      </c>
      <c r="Z103" s="7"/>
    </row>
    <row r="104" spans="1:31">
      <c r="B104" s="1">
        <v>503153</v>
      </c>
      <c r="C104" s="1">
        <v>112518</v>
      </c>
      <c r="D104" s="1">
        <v>226325</v>
      </c>
      <c r="E104" s="1">
        <v>367362</v>
      </c>
      <c r="F104" s="2"/>
      <c r="G104" s="1">
        <v>257610</v>
      </c>
      <c r="H104" s="1">
        <v>97148</v>
      </c>
      <c r="I104" s="1">
        <v>119277</v>
      </c>
      <c r="J104" s="1">
        <v>228947</v>
      </c>
      <c r="K104" s="2"/>
      <c r="L104" s="1">
        <v>131758</v>
      </c>
      <c r="M104" s="1">
        <v>110784</v>
      </c>
      <c r="N104" s="1">
        <v>70737</v>
      </c>
      <c r="O104" s="14">
        <v>138751</v>
      </c>
      <c r="P104" s="2"/>
      <c r="Q104" s="1">
        <v>127703</v>
      </c>
      <c r="R104" s="1">
        <v>178794</v>
      </c>
      <c r="S104" s="1">
        <v>49400</v>
      </c>
      <c r="T104" s="1">
        <v>87049</v>
      </c>
      <c r="U104" s="2"/>
      <c r="V104" s="9">
        <v>125444</v>
      </c>
      <c r="W104" s="9">
        <v>180583</v>
      </c>
      <c r="X104" s="9">
        <v>40113</v>
      </c>
      <c r="Y104" s="9">
        <v>74573</v>
      </c>
      <c r="Z104" s="7"/>
    </row>
    <row r="105" spans="1:31">
      <c r="B105" s="1">
        <v>482515</v>
      </c>
      <c r="C105" s="1">
        <v>111943</v>
      </c>
      <c r="D105" s="1">
        <v>227884</v>
      </c>
      <c r="E105" s="1">
        <v>366790</v>
      </c>
      <c r="F105" s="2"/>
      <c r="G105" s="1">
        <v>247250</v>
      </c>
      <c r="H105" s="1">
        <v>98964</v>
      </c>
      <c r="I105" s="1">
        <v>119749</v>
      </c>
      <c r="J105" s="1">
        <v>220148</v>
      </c>
      <c r="K105" s="2"/>
      <c r="L105" s="1">
        <v>126889</v>
      </c>
      <c r="M105" s="1">
        <v>154264</v>
      </c>
      <c r="N105" s="1">
        <v>75659</v>
      </c>
      <c r="O105" s="14">
        <v>145734</v>
      </c>
      <c r="P105" s="2"/>
      <c r="Q105" s="1">
        <v>127192</v>
      </c>
      <c r="R105" s="1">
        <v>100163</v>
      </c>
      <c r="S105" s="1">
        <v>48673</v>
      </c>
      <c r="T105" s="1">
        <v>88867</v>
      </c>
      <c r="U105" s="2"/>
      <c r="V105" s="9">
        <v>122707</v>
      </c>
      <c r="W105" s="9">
        <v>96442</v>
      </c>
      <c r="X105" s="9">
        <v>40961</v>
      </c>
      <c r="Y105" s="9">
        <v>74311</v>
      </c>
      <c r="Z105" s="7"/>
    </row>
    <row r="106" spans="1:31">
      <c r="B106" s="1">
        <v>519783</v>
      </c>
      <c r="C106" s="1">
        <v>114754</v>
      </c>
      <c r="D106" s="1">
        <v>227661</v>
      </c>
      <c r="E106" s="1">
        <v>376375</v>
      </c>
      <c r="F106" s="2"/>
      <c r="G106" s="1">
        <v>248886</v>
      </c>
      <c r="H106" s="1">
        <v>101065</v>
      </c>
      <c r="I106" s="1">
        <v>124989</v>
      </c>
      <c r="J106" s="1">
        <v>234388</v>
      </c>
      <c r="K106" s="2"/>
      <c r="L106" s="1">
        <v>139613</v>
      </c>
      <c r="M106" s="1">
        <v>100953</v>
      </c>
      <c r="N106" s="1">
        <v>77989</v>
      </c>
      <c r="O106" s="14">
        <v>145411</v>
      </c>
      <c r="P106" s="2"/>
      <c r="Q106" s="1">
        <v>122482</v>
      </c>
      <c r="R106" s="1">
        <v>175526</v>
      </c>
      <c r="S106" s="1">
        <v>46954</v>
      </c>
      <c r="T106" s="1">
        <v>91239</v>
      </c>
      <c r="U106" s="2"/>
      <c r="V106" s="9">
        <v>126940</v>
      </c>
      <c r="W106" s="9">
        <v>173927</v>
      </c>
      <c r="X106" s="9">
        <v>40109</v>
      </c>
      <c r="Y106" s="9">
        <v>72079</v>
      </c>
      <c r="Z106" s="7"/>
    </row>
    <row r="107" spans="1:31">
      <c r="B107" s="1">
        <v>505367</v>
      </c>
      <c r="C107" s="1">
        <v>113517</v>
      </c>
      <c r="D107" s="1">
        <v>223100</v>
      </c>
      <c r="E107" s="1">
        <v>395096</v>
      </c>
      <c r="F107" s="2"/>
      <c r="G107" s="1">
        <v>271764</v>
      </c>
      <c r="H107" s="1">
        <v>110693</v>
      </c>
      <c r="I107" s="1">
        <v>120881</v>
      </c>
      <c r="J107" s="1">
        <v>229137</v>
      </c>
      <c r="K107" s="2"/>
      <c r="L107" s="1">
        <v>128040</v>
      </c>
      <c r="M107" s="1">
        <v>90275</v>
      </c>
      <c r="N107" s="1">
        <v>66811</v>
      </c>
      <c r="O107" s="14">
        <v>144116</v>
      </c>
      <c r="P107" s="2"/>
      <c r="Q107" s="1">
        <v>124886</v>
      </c>
      <c r="R107" s="1">
        <v>98874</v>
      </c>
      <c r="S107" s="1">
        <v>47084</v>
      </c>
      <c r="T107" s="1">
        <v>90423</v>
      </c>
      <c r="U107" s="2"/>
      <c r="V107" s="9">
        <v>127117</v>
      </c>
      <c r="W107" s="9">
        <v>100355</v>
      </c>
      <c r="X107" s="9">
        <v>39303</v>
      </c>
      <c r="Y107" s="9">
        <v>73419</v>
      </c>
      <c r="Z107" s="7"/>
    </row>
    <row r="108" spans="1:31">
      <c r="A108" s="6" t="s">
        <v>10</v>
      </c>
      <c r="B108" s="3">
        <f>AVERAGE(B78:B107)</f>
        <v>492496.13333333336</v>
      </c>
      <c r="C108" s="3">
        <f>AVERAGE(C78:C107)</f>
        <v>114393.7</v>
      </c>
      <c r="D108" s="3">
        <f>AVERAGE(D78:D107)</f>
        <v>231003</v>
      </c>
      <c r="E108" s="3">
        <f>AVERAGE(E78:E107)</f>
        <v>395578.33333333331</v>
      </c>
      <c r="F108" s="2"/>
      <c r="G108" s="3">
        <f>AVERAGE(G78:G107)</f>
        <v>253957.7</v>
      </c>
      <c r="H108" s="3">
        <f>AVERAGE(H78:H107)</f>
        <v>109309</v>
      </c>
      <c r="I108" s="3">
        <f>AVERAGE(I78:I107)</f>
        <v>122967.5</v>
      </c>
      <c r="J108" s="3">
        <f>AVERAGE(J78:J107)</f>
        <v>161960.46666666667</v>
      </c>
      <c r="K108" s="2"/>
      <c r="L108" s="3">
        <f>AVERAGE(L78:L107)</f>
        <v>129507.53333333334</v>
      </c>
      <c r="M108" s="3">
        <f>AVERAGE(M78:M107)</f>
        <v>114348.33333333333</v>
      </c>
      <c r="N108" s="3">
        <f>AVERAGE(N78:N107)</f>
        <v>77034.100000000006</v>
      </c>
      <c r="O108" s="3">
        <f>AVERAGE(O78:O107)</f>
        <v>139152.86666666667</v>
      </c>
      <c r="P108" s="2"/>
      <c r="Q108" s="3">
        <f>AVERAGE(Q78:Q107)</f>
        <v>125072.56666666667</v>
      </c>
      <c r="R108" s="3">
        <f>AVERAGE(R78:R107)</f>
        <v>120554.93333333333</v>
      </c>
      <c r="S108" s="3">
        <f>AVERAGE(S78:S107)</f>
        <v>47523.23333333333</v>
      </c>
      <c r="T108" s="3">
        <f>AVERAGE(T78:T107)</f>
        <v>91218.1</v>
      </c>
      <c r="U108" s="2"/>
      <c r="V108" s="11">
        <f>AVERAGE(V78:V107)</f>
        <v>127562.76666666666</v>
      </c>
      <c r="W108" s="11">
        <f>AVERAGE(W78:W107)</f>
        <v>131966.13333333333</v>
      </c>
      <c r="X108" s="11">
        <f>AVERAGE(X78:X107)</f>
        <v>39510.6</v>
      </c>
      <c r="Y108" s="11">
        <f>AVERAGE(Y78:Y107)</f>
        <v>78180.566666666666</v>
      </c>
      <c r="Z108" s="7"/>
    </row>
    <row r="109" spans="1:31">
      <c r="V109" s="7"/>
      <c r="W109" s="7"/>
      <c r="X109" s="7"/>
      <c r="Y109" s="7"/>
      <c r="Z109" s="7"/>
    </row>
    <row r="110" spans="1:31" ht="15.75" thickBot="1">
      <c r="V110" s="7"/>
      <c r="W110" s="7"/>
      <c r="X110" s="7"/>
      <c r="Y110" s="7"/>
      <c r="Z110" s="7"/>
    </row>
    <row r="111" spans="1:31" s="7" customFormat="1" ht="16.5" customHeight="1" thickBot="1">
      <c r="B111" s="66" t="s">
        <v>39</v>
      </c>
      <c r="C111" s="67"/>
      <c r="D111" s="67"/>
      <c r="E111" s="68"/>
      <c r="G111" s="66" t="s">
        <v>39</v>
      </c>
      <c r="H111" s="67"/>
      <c r="I111" s="67"/>
      <c r="J111" s="68"/>
      <c r="L111" s="66" t="s">
        <v>39</v>
      </c>
      <c r="M111" s="67"/>
      <c r="N111" s="67"/>
      <c r="O111" s="68"/>
      <c r="Q111" s="66" t="s">
        <v>39</v>
      </c>
      <c r="R111" s="67"/>
      <c r="S111" s="67"/>
      <c r="T111" s="68"/>
      <c r="V111" s="66" t="s">
        <v>39</v>
      </c>
      <c r="W111" s="67"/>
      <c r="X111" s="67"/>
      <c r="Y111" s="68"/>
      <c r="AA111" s="20"/>
      <c r="AB111" s="20"/>
      <c r="AC111" s="20"/>
      <c r="AD111" s="20"/>
      <c r="AE111" s="20"/>
    </row>
    <row r="112" spans="1:31" s="7" customFormat="1" ht="13.5" customHeight="1" thickBot="1">
      <c r="B112" s="63" t="s">
        <v>21</v>
      </c>
      <c r="C112" s="64"/>
      <c r="D112" s="64"/>
      <c r="E112" s="65"/>
      <c r="G112" s="59" t="s">
        <v>22</v>
      </c>
      <c r="H112" s="59"/>
      <c r="I112" s="59"/>
      <c r="J112" s="59"/>
      <c r="L112" s="59" t="s">
        <v>23</v>
      </c>
      <c r="M112" s="59"/>
      <c r="N112" s="59"/>
      <c r="O112" s="59"/>
      <c r="Q112" s="59" t="s">
        <v>24</v>
      </c>
      <c r="R112" s="59"/>
      <c r="S112" s="59"/>
      <c r="T112" s="59"/>
      <c r="V112" s="59" t="s">
        <v>40</v>
      </c>
      <c r="W112" s="59"/>
      <c r="X112" s="59"/>
      <c r="Y112" s="59"/>
      <c r="AA112" s="21"/>
      <c r="AB112" s="21"/>
      <c r="AC112" s="21"/>
      <c r="AD112" s="21"/>
      <c r="AE112" s="21"/>
    </row>
    <row r="113" spans="2:26" s="7" customFormat="1" ht="45.75" thickBot="1">
      <c r="B113" s="28" t="s">
        <v>6</v>
      </c>
      <c r="C113" s="44" t="s">
        <v>7</v>
      </c>
      <c r="D113" s="43" t="s">
        <v>8</v>
      </c>
      <c r="E113" s="43" t="s">
        <v>9</v>
      </c>
      <c r="G113" s="28" t="s">
        <v>6</v>
      </c>
      <c r="H113" s="44" t="s">
        <v>7</v>
      </c>
      <c r="I113" s="43" t="s">
        <v>8</v>
      </c>
      <c r="J113" s="43" t="s">
        <v>9</v>
      </c>
      <c r="L113" s="28" t="s">
        <v>6</v>
      </c>
      <c r="M113" s="44" t="s">
        <v>7</v>
      </c>
      <c r="N113" s="43" t="s">
        <v>8</v>
      </c>
      <c r="O113" s="43" t="s">
        <v>9</v>
      </c>
      <c r="Q113" s="28" t="s">
        <v>6</v>
      </c>
      <c r="R113" s="44" t="s">
        <v>7</v>
      </c>
      <c r="S113" s="43" t="s">
        <v>8</v>
      </c>
      <c r="T113" s="43" t="s">
        <v>9</v>
      </c>
      <c r="V113" s="28" t="s">
        <v>6</v>
      </c>
      <c r="W113" s="44" t="s">
        <v>7</v>
      </c>
      <c r="X113" s="43" t="s">
        <v>8</v>
      </c>
      <c r="Y113" s="43" t="s">
        <v>9</v>
      </c>
    </row>
    <row r="114" spans="2:26">
      <c r="B114" s="1">
        <v>4917107</v>
      </c>
      <c r="C114" s="1">
        <v>939351</v>
      </c>
      <c r="D114" s="1">
        <v>1963320</v>
      </c>
      <c r="E114" s="1">
        <v>4144352</v>
      </c>
      <c r="F114" s="2"/>
      <c r="G114" s="1">
        <v>2424812</v>
      </c>
      <c r="H114" s="1">
        <v>883485</v>
      </c>
      <c r="I114" s="1">
        <v>1035601</v>
      </c>
      <c r="J114" s="1">
        <v>2286367</v>
      </c>
      <c r="K114" s="2"/>
      <c r="L114" s="1">
        <v>1207435</v>
      </c>
      <c r="M114" s="1">
        <v>989095</v>
      </c>
      <c r="N114" s="1">
        <v>668139</v>
      </c>
      <c r="O114" s="14">
        <v>1421846</v>
      </c>
      <c r="P114" s="2"/>
      <c r="Q114" s="1">
        <v>1055776</v>
      </c>
      <c r="R114" s="1">
        <v>1149471</v>
      </c>
      <c r="S114" s="1">
        <v>434452</v>
      </c>
      <c r="T114" s="1">
        <v>962737</v>
      </c>
      <c r="U114" s="2"/>
      <c r="V114" s="9">
        <v>1028756</v>
      </c>
      <c r="W114" s="9">
        <v>1099477</v>
      </c>
      <c r="X114" s="9">
        <v>390639</v>
      </c>
      <c r="Y114" s="9">
        <v>922072</v>
      </c>
      <c r="Z114" s="7"/>
    </row>
    <row r="115" spans="2:26">
      <c r="B115" s="1">
        <v>4933459</v>
      </c>
      <c r="C115" s="1">
        <v>943640</v>
      </c>
      <c r="D115" s="1">
        <v>1909183</v>
      </c>
      <c r="E115" s="1">
        <v>4244323</v>
      </c>
      <c r="F115" s="2"/>
      <c r="G115" s="1">
        <v>2375136</v>
      </c>
      <c r="H115" s="1">
        <v>938755</v>
      </c>
      <c r="I115" s="1">
        <v>1061626</v>
      </c>
      <c r="J115" s="1">
        <v>2267095</v>
      </c>
      <c r="K115" s="2"/>
      <c r="L115" s="1">
        <v>1226637</v>
      </c>
      <c r="M115" s="1">
        <v>1006196</v>
      </c>
      <c r="N115" s="1">
        <v>708474</v>
      </c>
      <c r="O115" s="14">
        <v>1426773</v>
      </c>
      <c r="P115" s="2"/>
      <c r="Q115" s="1">
        <v>1065817</v>
      </c>
      <c r="R115" s="1">
        <v>1088369</v>
      </c>
      <c r="S115" s="1">
        <v>428768</v>
      </c>
      <c r="T115" s="1">
        <v>980647</v>
      </c>
      <c r="U115" s="2"/>
      <c r="V115" s="9">
        <v>1061670</v>
      </c>
      <c r="W115" s="9">
        <v>1083511</v>
      </c>
      <c r="X115" s="9">
        <v>395473</v>
      </c>
      <c r="Y115" s="9">
        <v>926338</v>
      </c>
      <c r="Z115" s="7"/>
    </row>
    <row r="116" spans="2:26">
      <c r="B116" s="1">
        <v>4963561</v>
      </c>
      <c r="C116" s="1">
        <v>958420</v>
      </c>
      <c r="D116" s="1">
        <v>1952047</v>
      </c>
      <c r="E116" s="1">
        <v>4146223</v>
      </c>
      <c r="F116" s="2"/>
      <c r="G116" s="1">
        <v>2520200</v>
      </c>
      <c r="H116" s="1">
        <v>887744</v>
      </c>
      <c r="I116" s="1">
        <v>1003240</v>
      </c>
      <c r="J116" s="1">
        <v>2296148</v>
      </c>
      <c r="K116" s="2"/>
      <c r="L116" s="1">
        <v>1074608</v>
      </c>
      <c r="M116" s="1">
        <v>1006531</v>
      </c>
      <c r="N116" s="1">
        <v>671268</v>
      </c>
      <c r="O116" s="14">
        <v>1510938</v>
      </c>
      <c r="P116" s="2"/>
      <c r="Q116" s="1">
        <v>1066688</v>
      </c>
      <c r="R116" s="1">
        <v>1071364</v>
      </c>
      <c r="S116" s="1">
        <v>453018</v>
      </c>
      <c r="T116" s="1">
        <v>1008543</v>
      </c>
      <c r="U116" s="2"/>
      <c r="V116" s="9">
        <v>1123320</v>
      </c>
      <c r="W116" s="9">
        <v>1076765</v>
      </c>
      <c r="X116" s="9">
        <v>392793</v>
      </c>
      <c r="Y116" s="9">
        <v>893067</v>
      </c>
      <c r="Z116" s="7"/>
    </row>
    <row r="117" spans="2:26">
      <c r="B117" s="1">
        <v>5077650</v>
      </c>
      <c r="C117" s="1">
        <v>973066</v>
      </c>
      <c r="D117" s="1">
        <v>1944352</v>
      </c>
      <c r="E117" s="1">
        <v>3928888</v>
      </c>
      <c r="F117" s="2"/>
      <c r="G117" s="1">
        <v>2352032</v>
      </c>
      <c r="H117" s="1">
        <v>890430</v>
      </c>
      <c r="I117" s="1">
        <v>1134278</v>
      </c>
      <c r="J117" s="1">
        <v>2194900</v>
      </c>
      <c r="K117" s="2"/>
      <c r="L117" s="1">
        <v>1090790</v>
      </c>
      <c r="M117" s="1">
        <v>944546</v>
      </c>
      <c r="N117" s="1">
        <v>660340</v>
      </c>
      <c r="O117" s="14">
        <v>1515127</v>
      </c>
      <c r="P117" s="2"/>
      <c r="Q117" s="1">
        <v>1038323</v>
      </c>
      <c r="R117" s="1">
        <v>1151248</v>
      </c>
      <c r="S117" s="1">
        <v>441359</v>
      </c>
      <c r="T117" s="1">
        <v>986910</v>
      </c>
      <c r="U117" s="2"/>
      <c r="V117" s="9">
        <v>1147254</v>
      </c>
      <c r="W117" s="9">
        <v>1148303</v>
      </c>
      <c r="X117" s="9">
        <v>392969</v>
      </c>
      <c r="Y117" s="9">
        <v>855670</v>
      </c>
      <c r="Z117" s="7"/>
    </row>
    <row r="118" spans="2:26">
      <c r="B118" s="1">
        <v>4935233</v>
      </c>
      <c r="C118" s="1">
        <v>1017909</v>
      </c>
      <c r="D118" s="1">
        <v>1944415</v>
      </c>
      <c r="E118" s="1">
        <v>2331030</v>
      </c>
      <c r="F118" s="2"/>
      <c r="G118" s="1">
        <v>2356605</v>
      </c>
      <c r="H118" s="1">
        <v>912652</v>
      </c>
      <c r="I118" s="1">
        <v>1122760</v>
      </c>
      <c r="J118" s="1">
        <v>2165895</v>
      </c>
      <c r="K118" s="2"/>
      <c r="L118" s="1">
        <v>1079148</v>
      </c>
      <c r="M118" s="1">
        <v>988611</v>
      </c>
      <c r="N118" s="1">
        <v>607436</v>
      </c>
      <c r="O118" s="14">
        <v>1472431</v>
      </c>
      <c r="P118" s="2"/>
      <c r="Q118" s="1">
        <v>1080178</v>
      </c>
      <c r="R118" s="1">
        <v>1085762</v>
      </c>
      <c r="S118" s="1">
        <v>448798</v>
      </c>
      <c r="T118" s="1">
        <v>972061</v>
      </c>
      <c r="U118" s="2"/>
      <c r="V118" s="9">
        <v>1037401</v>
      </c>
      <c r="W118" s="9">
        <v>1083127</v>
      </c>
      <c r="X118" s="9">
        <v>391048</v>
      </c>
      <c r="Y118" s="9">
        <v>827766</v>
      </c>
      <c r="Z118" s="7"/>
    </row>
    <row r="119" spans="2:26">
      <c r="B119" s="1">
        <v>4992364</v>
      </c>
      <c r="C119" s="1">
        <v>948556</v>
      </c>
      <c r="D119" s="1">
        <v>1915783</v>
      </c>
      <c r="E119" s="1">
        <v>4154050</v>
      </c>
      <c r="F119" s="2"/>
      <c r="G119" s="1">
        <v>2420061</v>
      </c>
      <c r="H119" s="1">
        <v>944982</v>
      </c>
      <c r="I119" s="1">
        <v>1117891</v>
      </c>
      <c r="J119" s="1">
        <v>2310610</v>
      </c>
      <c r="K119" s="2"/>
      <c r="L119" s="1">
        <v>1067661</v>
      </c>
      <c r="M119" s="1">
        <v>994620</v>
      </c>
      <c r="N119" s="1">
        <v>661835</v>
      </c>
      <c r="O119" s="14">
        <v>1452038</v>
      </c>
      <c r="P119" s="2"/>
      <c r="Q119" s="1">
        <v>1039533</v>
      </c>
      <c r="R119" s="1">
        <v>1086792</v>
      </c>
      <c r="S119" s="1">
        <v>444373</v>
      </c>
      <c r="T119" s="1">
        <v>987972</v>
      </c>
      <c r="U119" s="2"/>
      <c r="V119" s="9">
        <v>1044219</v>
      </c>
      <c r="W119" s="9">
        <v>1074092</v>
      </c>
      <c r="X119" s="9">
        <v>398580</v>
      </c>
      <c r="Y119" s="9">
        <v>840062</v>
      </c>
      <c r="Z119" s="7"/>
    </row>
    <row r="120" spans="2:26">
      <c r="B120" s="1">
        <v>4914339</v>
      </c>
      <c r="C120" s="1">
        <v>946295</v>
      </c>
      <c r="D120" s="1">
        <v>2952646</v>
      </c>
      <c r="E120" s="1">
        <v>4069655</v>
      </c>
      <c r="F120" s="2"/>
      <c r="G120" s="1">
        <v>2419407</v>
      </c>
      <c r="H120" s="1">
        <v>888161</v>
      </c>
      <c r="I120" s="1">
        <v>1015273</v>
      </c>
      <c r="J120" s="1">
        <v>2336239</v>
      </c>
      <c r="K120" s="2"/>
      <c r="L120" s="1">
        <v>1069250</v>
      </c>
      <c r="M120" s="1">
        <v>922584</v>
      </c>
      <c r="N120" s="1">
        <v>643831</v>
      </c>
      <c r="O120" s="14">
        <v>1322774</v>
      </c>
      <c r="P120" s="2"/>
      <c r="Q120" s="1">
        <v>1059082</v>
      </c>
      <c r="R120" s="1">
        <v>1113416</v>
      </c>
      <c r="S120" s="1">
        <v>434774</v>
      </c>
      <c r="T120" s="1">
        <v>-735249</v>
      </c>
      <c r="U120" s="2"/>
      <c r="V120" s="9">
        <v>1042507</v>
      </c>
      <c r="W120" s="9">
        <v>1082933</v>
      </c>
      <c r="X120" s="9">
        <v>410998</v>
      </c>
      <c r="Y120" s="9">
        <v>892252</v>
      </c>
      <c r="Z120" s="7"/>
    </row>
    <row r="121" spans="2:26">
      <c r="B121" s="1">
        <v>4978116</v>
      </c>
      <c r="C121" s="1">
        <v>937021</v>
      </c>
      <c r="D121" s="1">
        <v>1999364</v>
      </c>
      <c r="E121" s="1">
        <v>4237212</v>
      </c>
      <c r="F121" s="2"/>
      <c r="G121" s="1">
        <v>2481032</v>
      </c>
      <c r="H121" s="1">
        <v>881421</v>
      </c>
      <c r="I121" s="1">
        <v>1022840</v>
      </c>
      <c r="J121" s="1">
        <v>2193497</v>
      </c>
      <c r="K121" s="2"/>
      <c r="L121" s="1">
        <v>1061108</v>
      </c>
      <c r="M121" s="1">
        <v>974370</v>
      </c>
      <c r="N121" s="1">
        <v>659583</v>
      </c>
      <c r="O121" s="14">
        <v>1470834</v>
      </c>
      <c r="P121" s="2"/>
      <c r="Q121" s="1">
        <v>1044683</v>
      </c>
      <c r="R121" s="1">
        <v>1077326</v>
      </c>
      <c r="S121" s="1">
        <v>462061</v>
      </c>
      <c r="T121" s="1">
        <v>1030653</v>
      </c>
      <c r="U121" s="2"/>
      <c r="V121" s="9">
        <v>1027862</v>
      </c>
      <c r="W121" s="9">
        <v>1020460</v>
      </c>
      <c r="X121" s="9">
        <v>403872</v>
      </c>
      <c r="Y121" s="9">
        <v>-959205</v>
      </c>
      <c r="Z121" s="7"/>
    </row>
    <row r="122" spans="2:26">
      <c r="B122" s="1">
        <v>5029501</v>
      </c>
      <c r="C122" s="1">
        <v>912885</v>
      </c>
      <c r="D122" s="1">
        <v>1962704</v>
      </c>
      <c r="E122" s="1">
        <v>4029155</v>
      </c>
      <c r="F122" s="2"/>
      <c r="G122" s="1">
        <v>2409699</v>
      </c>
      <c r="H122" s="1">
        <v>932756</v>
      </c>
      <c r="I122" s="1">
        <v>1043914</v>
      </c>
      <c r="J122" s="1">
        <v>2235967</v>
      </c>
      <c r="K122" s="2"/>
      <c r="L122" s="1">
        <v>1211157</v>
      </c>
      <c r="M122" s="1">
        <v>1033464</v>
      </c>
      <c r="N122" s="1">
        <v>630401</v>
      </c>
      <c r="O122" s="14">
        <v>1406443</v>
      </c>
      <c r="P122" s="2"/>
      <c r="Q122" s="1">
        <v>1036130</v>
      </c>
      <c r="R122" s="1">
        <v>1157564</v>
      </c>
      <c r="S122" s="1">
        <v>464674</v>
      </c>
      <c r="T122" s="1">
        <v>974254</v>
      </c>
      <c r="U122" s="2"/>
      <c r="V122" s="9">
        <v>1062611</v>
      </c>
      <c r="W122" s="9">
        <v>1010126</v>
      </c>
      <c r="X122" s="9">
        <v>423034</v>
      </c>
      <c r="Y122" s="9">
        <v>913693</v>
      </c>
      <c r="Z122" s="7"/>
    </row>
    <row r="123" spans="2:26">
      <c r="B123" s="1">
        <v>4880584</v>
      </c>
      <c r="C123" s="1">
        <v>905647</v>
      </c>
      <c r="D123" s="1">
        <v>1931959</v>
      </c>
      <c r="E123" s="1">
        <v>4061285</v>
      </c>
      <c r="F123" s="2"/>
      <c r="G123" s="1">
        <v>2369324</v>
      </c>
      <c r="H123" s="1">
        <v>940277</v>
      </c>
      <c r="I123" s="1">
        <v>1053649</v>
      </c>
      <c r="J123" s="1">
        <v>2186663</v>
      </c>
      <c r="K123" s="2"/>
      <c r="L123" s="1">
        <v>1237691</v>
      </c>
      <c r="M123" s="1">
        <v>1033917</v>
      </c>
      <c r="N123" s="1">
        <v>701178</v>
      </c>
      <c r="O123" s="14">
        <v>1454441</v>
      </c>
      <c r="P123" s="2"/>
      <c r="Q123" s="1">
        <v>1070676</v>
      </c>
      <c r="R123" s="1">
        <v>969067</v>
      </c>
      <c r="S123" s="1">
        <v>460262</v>
      </c>
      <c r="T123" s="1">
        <v>984233</v>
      </c>
      <c r="U123" s="2"/>
      <c r="V123" s="9">
        <v>1055262</v>
      </c>
      <c r="W123" s="9">
        <v>988740</v>
      </c>
      <c r="X123" s="9">
        <v>404543</v>
      </c>
      <c r="Y123" s="9">
        <v>913481</v>
      </c>
      <c r="Z123" s="7"/>
    </row>
    <row r="124" spans="2:26">
      <c r="B124" s="1">
        <v>4973965</v>
      </c>
      <c r="C124" s="1">
        <v>931618</v>
      </c>
      <c r="D124" s="1">
        <v>1927549</v>
      </c>
      <c r="E124" s="1">
        <v>4061271</v>
      </c>
      <c r="F124" s="2"/>
      <c r="G124" s="1">
        <v>2454041</v>
      </c>
      <c r="H124" s="1">
        <v>897426</v>
      </c>
      <c r="I124" s="1">
        <v>1060176</v>
      </c>
      <c r="J124" s="1">
        <v>349698</v>
      </c>
      <c r="K124" s="2"/>
      <c r="L124" s="1">
        <v>1108601</v>
      </c>
      <c r="M124" s="1">
        <v>996829</v>
      </c>
      <c r="N124" s="1">
        <v>685980</v>
      </c>
      <c r="O124" s="14">
        <v>1473348</v>
      </c>
      <c r="P124" s="2"/>
      <c r="Q124" s="1">
        <v>1044492</v>
      </c>
      <c r="R124" s="1">
        <v>1073676</v>
      </c>
      <c r="S124" s="1">
        <v>447860</v>
      </c>
      <c r="T124" s="1">
        <v>920370</v>
      </c>
      <c r="U124" s="2"/>
      <c r="V124" s="9">
        <v>1037775</v>
      </c>
      <c r="W124" s="9">
        <v>1069458</v>
      </c>
      <c r="X124" s="9">
        <v>394857</v>
      </c>
      <c r="Y124" s="9">
        <v>901311</v>
      </c>
      <c r="Z124" s="7"/>
    </row>
    <row r="125" spans="2:26">
      <c r="B125" s="1">
        <v>4985230</v>
      </c>
      <c r="C125" s="1">
        <v>917705</v>
      </c>
      <c r="D125" s="1">
        <v>1883592</v>
      </c>
      <c r="E125" s="1">
        <v>4163726</v>
      </c>
      <c r="F125" s="2"/>
      <c r="G125" s="1">
        <v>2530323</v>
      </c>
      <c r="H125" s="1">
        <v>886034</v>
      </c>
      <c r="I125" s="1">
        <v>1126211</v>
      </c>
      <c r="J125" s="1">
        <v>2161185</v>
      </c>
      <c r="K125" s="2"/>
      <c r="L125" s="1">
        <v>1079037</v>
      </c>
      <c r="M125" s="1">
        <v>966829</v>
      </c>
      <c r="N125" s="1">
        <v>616925</v>
      </c>
      <c r="O125" s="14">
        <v>1308361</v>
      </c>
      <c r="P125" s="2"/>
      <c r="Q125" s="1">
        <v>1100699</v>
      </c>
      <c r="R125" s="1">
        <v>1083240</v>
      </c>
      <c r="S125" s="1">
        <v>465316</v>
      </c>
      <c r="T125" s="1">
        <v>983393</v>
      </c>
      <c r="U125" s="2"/>
      <c r="V125" s="9">
        <v>1054221</v>
      </c>
      <c r="W125" s="9">
        <v>1077865</v>
      </c>
      <c r="X125" s="9">
        <v>387085</v>
      </c>
      <c r="Y125" s="9">
        <v>906629</v>
      </c>
      <c r="Z125" s="7"/>
    </row>
    <row r="126" spans="2:26">
      <c r="B126" s="1">
        <v>5011296</v>
      </c>
      <c r="C126" s="1">
        <v>931898</v>
      </c>
      <c r="D126" s="1">
        <v>1943019</v>
      </c>
      <c r="E126" s="1">
        <v>1921206</v>
      </c>
      <c r="F126" s="2"/>
      <c r="G126" s="1">
        <v>2379198</v>
      </c>
      <c r="H126" s="1">
        <v>931178</v>
      </c>
      <c r="I126" s="1">
        <v>992679</v>
      </c>
      <c r="J126" s="1">
        <v>2239814</v>
      </c>
      <c r="K126" s="2"/>
      <c r="L126" s="1">
        <v>1086326</v>
      </c>
      <c r="M126" s="1">
        <v>1010772</v>
      </c>
      <c r="N126" s="1">
        <v>644275</v>
      </c>
      <c r="O126" s="14">
        <v>-557012</v>
      </c>
      <c r="P126" s="2"/>
      <c r="Q126" s="1">
        <v>1053366</v>
      </c>
      <c r="R126" s="1">
        <v>1091702</v>
      </c>
      <c r="S126" s="1">
        <v>453495</v>
      </c>
      <c r="T126" s="1">
        <v>1059645</v>
      </c>
      <c r="U126" s="2"/>
      <c r="V126" s="9">
        <v>1059545</v>
      </c>
      <c r="W126" s="9">
        <v>996187</v>
      </c>
      <c r="X126" s="9">
        <v>404587</v>
      </c>
      <c r="Y126" s="9">
        <v>923697</v>
      </c>
      <c r="Z126" s="7"/>
    </row>
    <row r="127" spans="2:26">
      <c r="B127" s="1">
        <v>4880155</v>
      </c>
      <c r="C127" s="1">
        <v>964540</v>
      </c>
      <c r="D127" s="1">
        <v>1895703</v>
      </c>
      <c r="E127" s="1">
        <v>4147736</v>
      </c>
      <c r="F127" s="2"/>
      <c r="G127" s="1">
        <v>2428746</v>
      </c>
      <c r="H127" s="1">
        <v>905535</v>
      </c>
      <c r="I127" s="1">
        <v>1011949</v>
      </c>
      <c r="J127" s="1">
        <v>2291662</v>
      </c>
      <c r="K127" s="2"/>
      <c r="L127" s="1">
        <v>1079223</v>
      </c>
      <c r="M127" s="1">
        <v>1080790</v>
      </c>
      <c r="N127" s="1">
        <v>613044</v>
      </c>
      <c r="O127" s="14">
        <v>1357140</v>
      </c>
      <c r="P127" s="2"/>
      <c r="Q127" s="1">
        <v>1062582</v>
      </c>
      <c r="R127" s="1">
        <v>1078061</v>
      </c>
      <c r="S127" s="1">
        <v>422094</v>
      </c>
      <c r="T127" s="1">
        <v>1020698</v>
      </c>
      <c r="U127" s="2"/>
      <c r="V127" s="9">
        <v>1080049</v>
      </c>
      <c r="W127" s="9">
        <v>1081104</v>
      </c>
      <c r="X127" s="9">
        <v>406254</v>
      </c>
      <c r="Y127" s="9">
        <v>936959</v>
      </c>
      <c r="Z127" s="7"/>
    </row>
    <row r="128" spans="2:26">
      <c r="B128" s="1">
        <v>4934657</v>
      </c>
      <c r="C128" s="1">
        <v>935735</v>
      </c>
      <c r="D128" s="1">
        <v>1907043</v>
      </c>
      <c r="E128" s="1">
        <v>4112163</v>
      </c>
      <c r="F128" s="2"/>
      <c r="G128" s="1">
        <v>2398663</v>
      </c>
      <c r="H128" s="1">
        <v>898337</v>
      </c>
      <c r="I128" s="1">
        <v>988966</v>
      </c>
      <c r="J128" s="1">
        <v>2382273</v>
      </c>
      <c r="K128" s="2"/>
      <c r="L128" s="1">
        <v>1051980</v>
      </c>
      <c r="M128" s="1">
        <v>1018779</v>
      </c>
      <c r="N128" s="1">
        <v>630314</v>
      </c>
      <c r="O128" s="14">
        <v>1480812</v>
      </c>
      <c r="P128" s="2"/>
      <c r="Q128" s="1">
        <v>1040297</v>
      </c>
      <c r="R128" s="1">
        <v>1030563</v>
      </c>
      <c r="S128" s="1">
        <v>445816</v>
      </c>
      <c r="T128" s="1">
        <v>1004337</v>
      </c>
      <c r="U128" s="2"/>
      <c r="V128" s="9">
        <v>1049801</v>
      </c>
      <c r="W128" s="9">
        <v>1109063</v>
      </c>
      <c r="X128" s="9">
        <v>415904</v>
      </c>
      <c r="Y128" s="9">
        <v>907236</v>
      </c>
      <c r="Z128" s="7"/>
    </row>
    <row r="129" spans="1:26">
      <c r="B129" s="1">
        <v>5087297</v>
      </c>
      <c r="C129" s="1">
        <v>925341</v>
      </c>
      <c r="D129" s="1">
        <v>1873551</v>
      </c>
      <c r="E129" s="1">
        <v>4106481</v>
      </c>
      <c r="F129" s="2"/>
      <c r="G129" s="1">
        <v>2371887</v>
      </c>
      <c r="H129" s="1">
        <v>931403</v>
      </c>
      <c r="I129" s="1">
        <v>1086311</v>
      </c>
      <c r="J129" s="1">
        <v>2351199</v>
      </c>
      <c r="K129" s="2"/>
      <c r="L129" s="1">
        <v>1052427</v>
      </c>
      <c r="M129" s="1">
        <v>1044746</v>
      </c>
      <c r="N129" s="1">
        <v>712238</v>
      </c>
      <c r="O129" s="14">
        <v>1492913</v>
      </c>
      <c r="P129" s="2"/>
      <c r="Q129" s="1">
        <v>1047853</v>
      </c>
      <c r="R129" s="1">
        <v>1087677</v>
      </c>
      <c r="S129" s="1">
        <v>438672</v>
      </c>
      <c r="T129" s="1">
        <v>1011628</v>
      </c>
      <c r="U129" s="2"/>
      <c r="V129" s="9">
        <v>1041499</v>
      </c>
      <c r="W129" s="9">
        <v>1080878</v>
      </c>
      <c r="X129" s="9">
        <v>399184</v>
      </c>
      <c r="Y129" s="9">
        <v>920112</v>
      </c>
      <c r="Z129" s="7"/>
    </row>
    <row r="130" spans="1:26">
      <c r="B130" s="1">
        <v>5112878</v>
      </c>
      <c r="C130" s="1">
        <v>931013</v>
      </c>
      <c r="D130" s="1">
        <v>1888239</v>
      </c>
      <c r="E130" s="1">
        <v>4121807</v>
      </c>
      <c r="F130" s="2"/>
      <c r="G130" s="1">
        <v>2419867</v>
      </c>
      <c r="H130" s="1">
        <v>1070615</v>
      </c>
      <c r="I130" s="1">
        <v>999076</v>
      </c>
      <c r="J130" s="1">
        <v>2499136</v>
      </c>
      <c r="K130" s="2"/>
      <c r="L130" s="1">
        <v>1069499</v>
      </c>
      <c r="M130" s="1">
        <v>941386</v>
      </c>
      <c r="N130" s="1">
        <v>632963</v>
      </c>
      <c r="O130" s="14">
        <v>1460613</v>
      </c>
      <c r="P130" s="2"/>
      <c r="Q130" s="1">
        <v>1070206</v>
      </c>
      <c r="R130" s="1">
        <v>1087004</v>
      </c>
      <c r="S130" s="1">
        <v>448551</v>
      </c>
      <c r="T130" s="1">
        <v>1019303</v>
      </c>
      <c r="U130" s="2"/>
      <c r="V130" s="9">
        <v>1042554</v>
      </c>
      <c r="W130" s="9">
        <v>1153112</v>
      </c>
      <c r="X130" s="9">
        <v>396626</v>
      </c>
      <c r="Y130" s="9">
        <v>866073</v>
      </c>
      <c r="Z130" s="7"/>
    </row>
    <row r="131" spans="1:26">
      <c r="B131" s="1">
        <v>4956064</v>
      </c>
      <c r="C131" s="1">
        <v>925170</v>
      </c>
      <c r="D131" s="1">
        <v>1872560</v>
      </c>
      <c r="E131" s="1">
        <v>4142680</v>
      </c>
      <c r="F131" s="2"/>
      <c r="G131" s="1">
        <v>2417527</v>
      </c>
      <c r="H131" s="1">
        <v>907530</v>
      </c>
      <c r="I131" s="1">
        <v>2034052</v>
      </c>
      <c r="J131" s="1">
        <v>2483736</v>
      </c>
      <c r="K131" s="2"/>
      <c r="L131" s="1">
        <v>1090780</v>
      </c>
      <c r="M131" s="1">
        <v>991195</v>
      </c>
      <c r="N131" s="1">
        <v>635030</v>
      </c>
      <c r="O131" s="14">
        <v>1505617</v>
      </c>
      <c r="P131" s="2"/>
      <c r="Q131" s="1">
        <v>1051347</v>
      </c>
      <c r="R131" s="1">
        <v>1068961</v>
      </c>
      <c r="S131" s="1">
        <v>447312</v>
      </c>
      <c r="T131" s="1">
        <v>956642</v>
      </c>
      <c r="U131" s="2"/>
      <c r="V131" s="9">
        <v>1015970</v>
      </c>
      <c r="W131" s="9">
        <v>1071933</v>
      </c>
      <c r="X131" s="9">
        <v>402340</v>
      </c>
      <c r="Y131" s="9">
        <v>907967</v>
      </c>
      <c r="Z131" s="7"/>
    </row>
    <row r="132" spans="1:26">
      <c r="B132" s="1">
        <v>4869612</v>
      </c>
      <c r="C132" s="1">
        <v>924126</v>
      </c>
      <c r="D132" s="1">
        <v>1926533</v>
      </c>
      <c r="E132" s="1">
        <v>4053089</v>
      </c>
      <c r="F132" s="2"/>
      <c r="G132" s="1">
        <v>2389573</v>
      </c>
      <c r="H132" s="1">
        <v>958202</v>
      </c>
      <c r="I132" s="1">
        <v>1076376</v>
      </c>
      <c r="J132" s="1">
        <v>2125771</v>
      </c>
      <c r="K132" s="2"/>
      <c r="L132" s="1">
        <v>1087838</v>
      </c>
      <c r="M132" s="1">
        <v>984366</v>
      </c>
      <c r="N132" s="1">
        <v>583889</v>
      </c>
      <c r="O132" s="14">
        <v>1494522</v>
      </c>
      <c r="P132" s="2"/>
      <c r="Q132" s="1">
        <v>1041506</v>
      </c>
      <c r="R132" s="1">
        <v>1105847</v>
      </c>
      <c r="S132" s="1">
        <v>411843</v>
      </c>
      <c r="T132" s="1">
        <v>982785</v>
      </c>
      <c r="U132" s="2"/>
      <c r="V132" s="9">
        <v>1106798</v>
      </c>
      <c r="W132" s="9">
        <v>1071527</v>
      </c>
      <c r="X132" s="9">
        <v>410788</v>
      </c>
      <c r="Y132" s="9">
        <v>916301</v>
      </c>
      <c r="Z132" s="7"/>
    </row>
    <row r="133" spans="1:26">
      <c r="B133" s="1">
        <v>4911260</v>
      </c>
      <c r="C133" s="1">
        <v>918299</v>
      </c>
      <c r="D133" s="1">
        <v>1933925</v>
      </c>
      <c r="E133" s="1">
        <v>4100710</v>
      </c>
      <c r="F133" s="2"/>
      <c r="G133" s="1">
        <v>2504617</v>
      </c>
      <c r="H133" s="1">
        <v>899270</v>
      </c>
      <c r="I133" s="1">
        <v>1041618</v>
      </c>
      <c r="J133" s="1">
        <v>2190423</v>
      </c>
      <c r="K133" s="2"/>
      <c r="L133" s="1">
        <v>1076174</v>
      </c>
      <c r="M133" s="1">
        <v>1079257</v>
      </c>
      <c r="N133" s="1">
        <v>616790</v>
      </c>
      <c r="O133" s="14">
        <v>1373082</v>
      </c>
      <c r="P133" s="2"/>
      <c r="Q133" s="1">
        <v>1030610</v>
      </c>
      <c r="R133" s="1">
        <v>1155828</v>
      </c>
      <c r="S133" s="1">
        <v>466552</v>
      </c>
      <c r="T133" s="1">
        <v>1051260</v>
      </c>
      <c r="U133" s="2"/>
      <c r="V133" s="9">
        <v>1039541</v>
      </c>
      <c r="W133" s="9">
        <v>1072451</v>
      </c>
      <c r="X133" s="9">
        <v>402197</v>
      </c>
      <c r="Y133" s="9">
        <v>899560</v>
      </c>
      <c r="Z133" s="7"/>
    </row>
    <row r="134" spans="1:26">
      <c r="B134" s="1">
        <v>4952102</v>
      </c>
      <c r="C134" s="1">
        <v>918851</v>
      </c>
      <c r="D134" s="1">
        <v>1923228</v>
      </c>
      <c r="E134" s="1">
        <v>2400672</v>
      </c>
      <c r="F134" s="2"/>
      <c r="G134" s="1">
        <v>2383134</v>
      </c>
      <c r="H134" s="1">
        <v>941097</v>
      </c>
      <c r="I134" s="1">
        <v>1100188</v>
      </c>
      <c r="J134" s="1">
        <v>2306319</v>
      </c>
      <c r="K134" s="2"/>
      <c r="L134" s="1">
        <v>1134844</v>
      </c>
      <c r="M134" s="1">
        <v>957610</v>
      </c>
      <c r="N134" s="1">
        <v>640059</v>
      </c>
      <c r="O134" s="14">
        <v>1504226</v>
      </c>
      <c r="P134" s="2"/>
      <c r="Q134" s="1">
        <v>1038149</v>
      </c>
      <c r="R134" s="1">
        <v>1085727</v>
      </c>
      <c r="S134" s="1">
        <v>437535</v>
      </c>
      <c r="T134" s="1">
        <v>968453</v>
      </c>
      <c r="U134" s="2"/>
      <c r="V134" s="9">
        <v>1078275</v>
      </c>
      <c r="W134" s="9">
        <v>1071365</v>
      </c>
      <c r="X134" s="9">
        <v>400064</v>
      </c>
      <c r="Y134" s="9">
        <v>891872</v>
      </c>
      <c r="Z134" s="7"/>
    </row>
    <row r="135" spans="1:26">
      <c r="B135" s="1">
        <v>4953022</v>
      </c>
      <c r="C135" s="1">
        <v>913451</v>
      </c>
      <c r="D135" s="1">
        <v>1928175</v>
      </c>
      <c r="E135" s="1">
        <v>4006953</v>
      </c>
      <c r="F135" s="2"/>
      <c r="G135" s="1">
        <v>2420407</v>
      </c>
      <c r="H135" s="1">
        <v>905093</v>
      </c>
      <c r="I135" s="1">
        <v>1046460</v>
      </c>
      <c r="J135" s="1">
        <v>2233760</v>
      </c>
      <c r="K135" s="2"/>
      <c r="L135" s="1">
        <v>1141639</v>
      </c>
      <c r="M135" s="1">
        <v>1002539</v>
      </c>
      <c r="N135" s="1">
        <v>643115</v>
      </c>
      <c r="O135" s="14">
        <v>1547833</v>
      </c>
      <c r="P135" s="2"/>
      <c r="Q135" s="1">
        <v>1261690</v>
      </c>
      <c r="R135" s="1">
        <v>1079207</v>
      </c>
      <c r="S135" s="1">
        <v>444776</v>
      </c>
      <c r="T135" s="1">
        <v>1039817</v>
      </c>
      <c r="U135" s="2"/>
      <c r="V135" s="9">
        <v>1293547</v>
      </c>
      <c r="W135" s="9">
        <v>1082481</v>
      </c>
      <c r="X135" s="9">
        <v>391535</v>
      </c>
      <c r="Y135" s="9">
        <v>902940</v>
      </c>
      <c r="Z135" s="7"/>
    </row>
    <row r="136" spans="1:26">
      <c r="B136" s="1">
        <v>5096739</v>
      </c>
      <c r="C136" s="1">
        <v>924849</v>
      </c>
      <c r="D136" s="1">
        <v>1920167</v>
      </c>
      <c r="E136" s="1">
        <v>4170304</v>
      </c>
      <c r="F136" s="2"/>
      <c r="G136" s="1">
        <v>2567591</v>
      </c>
      <c r="H136" s="1">
        <v>880259</v>
      </c>
      <c r="I136" s="1">
        <v>1089379</v>
      </c>
      <c r="J136" s="1">
        <v>2150180</v>
      </c>
      <c r="K136" s="2"/>
      <c r="L136" s="1">
        <v>1058069</v>
      </c>
      <c r="M136" s="1">
        <v>1004507</v>
      </c>
      <c r="N136" s="1">
        <v>646157</v>
      </c>
      <c r="O136" s="14">
        <v>1497814</v>
      </c>
      <c r="P136" s="2"/>
      <c r="Q136" s="1">
        <v>1073253</v>
      </c>
      <c r="R136" s="1">
        <v>1115157</v>
      </c>
      <c r="S136" s="1">
        <v>462753</v>
      </c>
      <c r="T136" s="1">
        <v>1011664</v>
      </c>
      <c r="U136" s="2"/>
      <c r="V136" s="9">
        <v>1092023</v>
      </c>
      <c r="W136" s="9">
        <v>1072499</v>
      </c>
      <c r="X136" s="9">
        <v>399971</v>
      </c>
      <c r="Y136" s="9">
        <v>950546</v>
      </c>
      <c r="Z136" s="7"/>
    </row>
    <row r="137" spans="1:26">
      <c r="B137" s="1">
        <v>4864402</v>
      </c>
      <c r="C137" s="1">
        <v>933652</v>
      </c>
      <c r="D137" s="1">
        <v>2965602</v>
      </c>
      <c r="E137" s="1">
        <v>4094429</v>
      </c>
      <c r="F137" s="2"/>
      <c r="G137" s="1">
        <v>2366701</v>
      </c>
      <c r="H137" s="1">
        <v>912204</v>
      </c>
      <c r="I137" s="1">
        <v>1089398</v>
      </c>
      <c r="J137" s="1">
        <v>2217016</v>
      </c>
      <c r="K137" s="2"/>
      <c r="L137" s="1">
        <v>1121461</v>
      </c>
      <c r="M137" s="1">
        <v>1098066</v>
      </c>
      <c r="N137" s="1">
        <v>631713</v>
      </c>
      <c r="O137" s="14">
        <v>1402198</v>
      </c>
      <c r="P137" s="2"/>
      <c r="Q137" s="1">
        <v>1045423</v>
      </c>
      <c r="R137" s="1">
        <v>1078995</v>
      </c>
      <c r="S137" s="1">
        <v>445561</v>
      </c>
      <c r="T137" s="1">
        <v>982078</v>
      </c>
      <c r="U137" s="2"/>
      <c r="V137" s="9">
        <v>1070447</v>
      </c>
      <c r="W137" s="9">
        <v>1015768</v>
      </c>
      <c r="X137" s="9">
        <v>396290</v>
      </c>
      <c r="Y137" s="9">
        <v>892303</v>
      </c>
      <c r="Z137" s="7"/>
    </row>
    <row r="138" spans="1:26">
      <c r="B138" s="1">
        <v>5119305</v>
      </c>
      <c r="C138" s="1">
        <v>922289</v>
      </c>
      <c r="D138" s="1">
        <v>1937969</v>
      </c>
      <c r="E138" s="1">
        <v>4158150</v>
      </c>
      <c r="F138" s="2"/>
      <c r="G138" s="1">
        <v>2381951</v>
      </c>
      <c r="H138" s="1">
        <v>982637</v>
      </c>
      <c r="I138" s="1">
        <v>990136</v>
      </c>
      <c r="J138" s="1">
        <v>429942</v>
      </c>
      <c r="K138" s="2"/>
      <c r="L138" s="1">
        <v>1077449</v>
      </c>
      <c r="M138" s="1">
        <v>1030131</v>
      </c>
      <c r="N138" s="1">
        <v>652025</v>
      </c>
      <c r="O138" s="14">
        <v>1331270</v>
      </c>
      <c r="P138" s="2"/>
      <c r="Q138" s="1">
        <v>1050778</v>
      </c>
      <c r="R138" s="1">
        <v>1074304</v>
      </c>
      <c r="S138" s="1">
        <v>434430</v>
      </c>
      <c r="T138" s="1">
        <v>1025515</v>
      </c>
      <c r="U138" s="2"/>
      <c r="V138" s="9">
        <v>1076246</v>
      </c>
      <c r="W138" s="9">
        <v>1016169</v>
      </c>
      <c r="X138" s="9">
        <v>412353</v>
      </c>
      <c r="Y138" s="9">
        <v>838904</v>
      </c>
      <c r="Z138" s="7"/>
    </row>
    <row r="139" spans="1:26">
      <c r="B139" s="1">
        <v>4976147</v>
      </c>
      <c r="C139" s="1">
        <v>915897</v>
      </c>
      <c r="D139" s="1">
        <v>1927248</v>
      </c>
      <c r="E139" s="1">
        <v>3995596</v>
      </c>
      <c r="F139" s="2"/>
      <c r="G139" s="1">
        <v>2558992</v>
      </c>
      <c r="H139" s="1">
        <v>886765</v>
      </c>
      <c r="I139" s="1">
        <v>996606</v>
      </c>
      <c r="J139" s="1">
        <v>2482689</v>
      </c>
      <c r="K139" s="2"/>
      <c r="L139" s="1">
        <v>1093584</v>
      </c>
      <c r="M139" s="1">
        <v>970059</v>
      </c>
      <c r="N139" s="1">
        <v>635933</v>
      </c>
      <c r="O139" s="14">
        <v>1380199</v>
      </c>
      <c r="P139" s="2"/>
      <c r="Q139" s="1">
        <v>1049537</v>
      </c>
      <c r="R139" s="1">
        <v>1093915</v>
      </c>
      <c r="S139" s="1">
        <v>446968</v>
      </c>
      <c r="T139" s="1">
        <v>928861</v>
      </c>
      <c r="U139" s="2"/>
      <c r="V139" s="9">
        <v>1050787</v>
      </c>
      <c r="W139" s="9">
        <v>1064998</v>
      </c>
      <c r="X139" s="9">
        <v>405791</v>
      </c>
      <c r="Y139" s="9">
        <v>873981</v>
      </c>
      <c r="Z139" s="7"/>
    </row>
    <row r="140" spans="1:26">
      <c r="B140" s="1">
        <v>4960666</v>
      </c>
      <c r="C140" s="1">
        <v>915090</v>
      </c>
      <c r="D140" s="1">
        <v>1914067</v>
      </c>
      <c r="E140" s="1">
        <v>4191715</v>
      </c>
      <c r="F140" s="2"/>
      <c r="G140" s="1">
        <v>2396441</v>
      </c>
      <c r="H140" s="1">
        <v>901419</v>
      </c>
      <c r="I140" s="1">
        <v>1076970</v>
      </c>
      <c r="J140" s="1">
        <v>2189803</v>
      </c>
      <c r="K140" s="2"/>
      <c r="L140" s="1">
        <v>1054002</v>
      </c>
      <c r="M140" s="1">
        <v>869703</v>
      </c>
      <c r="N140" s="1">
        <v>1728792</v>
      </c>
      <c r="O140" s="14">
        <v>1416894</v>
      </c>
      <c r="P140" s="2"/>
      <c r="Q140" s="1">
        <v>1043262</v>
      </c>
      <c r="R140" s="1">
        <v>1071456</v>
      </c>
      <c r="S140" s="1">
        <v>438573</v>
      </c>
      <c r="T140" s="1">
        <v>891867</v>
      </c>
      <c r="U140" s="2"/>
      <c r="V140" s="9">
        <v>1048935</v>
      </c>
      <c r="W140" s="9">
        <v>1109985</v>
      </c>
      <c r="X140" s="9">
        <v>401217</v>
      </c>
      <c r="Y140" s="9">
        <v>909146</v>
      </c>
      <c r="Z140" s="7"/>
    </row>
    <row r="141" spans="1:26">
      <c r="B141" s="1">
        <v>4921355</v>
      </c>
      <c r="C141" s="1">
        <v>929932</v>
      </c>
      <c r="D141" s="1">
        <v>1902170</v>
      </c>
      <c r="E141" s="1">
        <v>2099357</v>
      </c>
      <c r="F141" s="2"/>
      <c r="G141" s="1">
        <v>2388403</v>
      </c>
      <c r="H141" s="1">
        <v>1052683</v>
      </c>
      <c r="I141" s="1">
        <v>995398</v>
      </c>
      <c r="J141" s="1">
        <v>2330673</v>
      </c>
      <c r="K141" s="2"/>
      <c r="L141" s="1">
        <v>1073520</v>
      </c>
      <c r="M141" s="1">
        <v>997717</v>
      </c>
      <c r="N141" s="1">
        <v>639377</v>
      </c>
      <c r="O141" s="14">
        <v>1484099</v>
      </c>
      <c r="P141" s="2"/>
      <c r="Q141" s="1">
        <v>1061161</v>
      </c>
      <c r="R141" s="1">
        <v>1155429</v>
      </c>
      <c r="S141" s="1">
        <v>428634</v>
      </c>
      <c r="T141" s="1">
        <v>997950</v>
      </c>
      <c r="U141" s="2"/>
      <c r="V141" s="9">
        <v>1039271</v>
      </c>
      <c r="W141" s="9">
        <v>1074867</v>
      </c>
      <c r="X141" s="9">
        <v>404930</v>
      </c>
      <c r="Y141" s="9">
        <v>904654</v>
      </c>
      <c r="Z141" s="7"/>
    </row>
    <row r="142" spans="1:26">
      <c r="B142" s="1">
        <v>4921594</v>
      </c>
      <c r="C142" s="1">
        <v>936802</v>
      </c>
      <c r="D142" s="1">
        <v>1895327</v>
      </c>
      <c r="E142" s="1">
        <v>4157707</v>
      </c>
      <c r="F142" s="2"/>
      <c r="G142" s="1">
        <v>2373074</v>
      </c>
      <c r="H142" s="1">
        <v>892405</v>
      </c>
      <c r="I142" s="1">
        <v>1099599</v>
      </c>
      <c r="J142" s="1">
        <v>2302376</v>
      </c>
      <c r="K142" s="2"/>
      <c r="L142" s="1">
        <v>1067198</v>
      </c>
      <c r="M142" s="1">
        <v>1021048</v>
      </c>
      <c r="N142" s="1">
        <v>560609</v>
      </c>
      <c r="O142" s="14">
        <v>1497608</v>
      </c>
      <c r="P142" s="2"/>
      <c r="Q142" s="1">
        <v>1089069</v>
      </c>
      <c r="R142" s="1">
        <v>1091999</v>
      </c>
      <c r="S142" s="1">
        <v>490614</v>
      </c>
      <c r="T142" s="1">
        <v>1015573</v>
      </c>
      <c r="U142" s="2"/>
      <c r="V142" s="9">
        <v>1088039</v>
      </c>
      <c r="W142" s="9">
        <v>1082494</v>
      </c>
      <c r="X142" s="9">
        <v>407900</v>
      </c>
      <c r="Y142" s="9">
        <v>965234</v>
      </c>
      <c r="Z142" s="7"/>
    </row>
    <row r="143" spans="1:26">
      <c r="B143" s="1">
        <v>4884698</v>
      </c>
      <c r="C143" s="1">
        <v>911879</v>
      </c>
      <c r="D143" s="1">
        <v>1914194</v>
      </c>
      <c r="E143" s="1">
        <v>4149646</v>
      </c>
      <c r="F143" s="2"/>
      <c r="G143" s="1">
        <v>2427476</v>
      </c>
      <c r="H143" s="1">
        <v>881788</v>
      </c>
      <c r="I143" s="1">
        <v>1019638</v>
      </c>
      <c r="J143" s="1">
        <v>2235621</v>
      </c>
      <c r="K143" s="2"/>
      <c r="L143" s="1">
        <v>1091301</v>
      </c>
      <c r="M143" s="1">
        <v>905389</v>
      </c>
      <c r="N143" s="1">
        <v>611120</v>
      </c>
      <c r="O143" s="14">
        <v>1457985</v>
      </c>
      <c r="P143" s="2"/>
      <c r="Q143" s="1">
        <v>1170042</v>
      </c>
      <c r="R143" s="1">
        <v>1074449</v>
      </c>
      <c r="S143" s="1">
        <v>455875</v>
      </c>
      <c r="T143" s="1">
        <v>997512</v>
      </c>
      <c r="U143" s="2"/>
      <c r="V143" s="9">
        <v>1029334</v>
      </c>
      <c r="W143" s="9">
        <v>994709</v>
      </c>
      <c r="X143" s="9">
        <v>408524</v>
      </c>
      <c r="Y143" s="9">
        <v>1054188</v>
      </c>
      <c r="Z143" s="7"/>
    </row>
    <row r="144" spans="1:26">
      <c r="A144" s="6" t="s">
        <v>10</v>
      </c>
      <c r="B144" s="3">
        <f>AVERAGE(B114:B143)</f>
        <v>4966478.5999999996</v>
      </c>
      <c r="C144" s="3">
        <f>AVERAGE(C114:C143)</f>
        <v>933697.56666666665</v>
      </c>
      <c r="D144" s="3">
        <f>AVERAGE(D114:D143)</f>
        <v>1991854.4666666666</v>
      </c>
      <c r="E144" s="3">
        <f>AVERAGE(E114:E143)</f>
        <v>3856719.0333333332</v>
      </c>
      <c r="F144" s="2"/>
      <c r="G144" s="3">
        <f>AVERAGE(G114:G143)</f>
        <v>2422897.3333333335</v>
      </c>
      <c r="H144" s="3">
        <f>AVERAGE(H114:H143)</f>
        <v>920751.43333333335</v>
      </c>
      <c r="I144" s="3">
        <f>AVERAGE(I114:I143)</f>
        <v>1084408.6000000001</v>
      </c>
      <c r="J144" s="3">
        <f>AVERAGE(J114:J143)</f>
        <v>2147555.2333333334</v>
      </c>
      <c r="K144" s="2"/>
      <c r="L144" s="3">
        <f>AVERAGE(L114:L143)</f>
        <v>1100681.2333333334</v>
      </c>
      <c r="M144" s="3">
        <f>AVERAGE(M114:M143)</f>
        <v>995521.73333333328</v>
      </c>
      <c r="N144" s="3">
        <f>AVERAGE(N114:N143)</f>
        <v>679094.43333333335</v>
      </c>
      <c r="O144" s="3">
        <f>AVERAGE(O114:O143)</f>
        <v>1378772.2333333334</v>
      </c>
      <c r="P144" s="2"/>
      <c r="Q144" s="3">
        <f>AVERAGE(Q114:Q143)</f>
        <v>1066073.6000000001</v>
      </c>
      <c r="R144" s="3">
        <f>AVERAGE(R114:R143)</f>
        <v>1091119.2</v>
      </c>
      <c r="S144" s="3">
        <f>AVERAGE(S114:S143)</f>
        <v>446858.96666666667</v>
      </c>
      <c r="T144" s="3">
        <f>AVERAGE(T114:T143)</f>
        <v>934070.4</v>
      </c>
      <c r="U144" s="2"/>
      <c r="V144" s="11">
        <f>AVERAGE(V114:V143)</f>
        <v>1067517.3</v>
      </c>
      <c r="W144" s="11">
        <f>AVERAGE(W114:W143)</f>
        <v>1067881.5666666667</v>
      </c>
      <c r="X144" s="11">
        <f>AVERAGE(X114:X143)</f>
        <v>401744.86666666664</v>
      </c>
      <c r="Y144" s="11">
        <f>AVERAGE(Y114:Y143)</f>
        <v>843160.3</v>
      </c>
      <c r="Z144" s="7"/>
    </row>
    <row r="146" spans="2:31" ht="15.75" thickBot="1"/>
    <row r="147" spans="2:31" s="7" customFormat="1" ht="16.5" customHeight="1" thickBot="1">
      <c r="B147" s="66" t="s">
        <v>39</v>
      </c>
      <c r="C147" s="67"/>
      <c r="D147" s="67"/>
      <c r="E147" s="68"/>
      <c r="G147" s="66" t="s">
        <v>39</v>
      </c>
      <c r="H147" s="67"/>
      <c r="I147" s="67"/>
      <c r="J147" s="68"/>
      <c r="L147" s="66" t="s">
        <v>39</v>
      </c>
      <c r="M147" s="67"/>
      <c r="N147" s="67"/>
      <c r="O147" s="68"/>
      <c r="Q147" s="66" t="s">
        <v>39</v>
      </c>
      <c r="R147" s="67"/>
      <c r="S147" s="67"/>
      <c r="T147" s="68"/>
      <c r="V147" s="66" t="s">
        <v>39</v>
      </c>
      <c r="W147" s="67"/>
      <c r="X147" s="67"/>
      <c r="Y147" s="68"/>
      <c r="AA147" s="20"/>
      <c r="AB147" s="20"/>
      <c r="AC147" s="20"/>
      <c r="AD147" s="20"/>
      <c r="AE147" s="20"/>
    </row>
    <row r="148" spans="2:31" s="7" customFormat="1" ht="13.5" customHeight="1" thickBot="1">
      <c r="B148" s="63" t="s">
        <v>26</v>
      </c>
      <c r="C148" s="64"/>
      <c r="D148" s="64"/>
      <c r="E148" s="65"/>
      <c r="G148" s="59" t="s">
        <v>27</v>
      </c>
      <c r="H148" s="59"/>
      <c r="I148" s="59"/>
      <c r="J148" s="59"/>
      <c r="L148" s="59" t="s">
        <v>28</v>
      </c>
      <c r="M148" s="59"/>
      <c r="N148" s="59"/>
      <c r="O148" s="59"/>
      <c r="Q148" s="59" t="s">
        <v>29</v>
      </c>
      <c r="R148" s="59"/>
      <c r="S148" s="59"/>
      <c r="T148" s="59"/>
      <c r="V148" s="59" t="s">
        <v>30</v>
      </c>
      <c r="W148" s="59"/>
      <c r="X148" s="59"/>
      <c r="Y148" s="59"/>
      <c r="AA148" s="21"/>
      <c r="AB148" s="21"/>
      <c r="AC148" s="21"/>
      <c r="AD148" s="21"/>
      <c r="AE148" s="21"/>
    </row>
    <row r="149" spans="2:31" s="7" customFormat="1" ht="45.75" thickBot="1">
      <c r="B149" s="28" t="s">
        <v>6</v>
      </c>
      <c r="C149" s="44" t="s">
        <v>7</v>
      </c>
      <c r="D149" s="43" t="s">
        <v>8</v>
      </c>
      <c r="E149" s="43" t="s">
        <v>9</v>
      </c>
      <c r="G149" s="28" t="s">
        <v>6</v>
      </c>
      <c r="H149" s="44" t="s">
        <v>7</v>
      </c>
      <c r="I149" s="43" t="s">
        <v>8</v>
      </c>
      <c r="J149" s="43" t="s">
        <v>9</v>
      </c>
      <c r="L149" s="28" t="s">
        <v>6</v>
      </c>
      <c r="M149" s="44" t="s">
        <v>7</v>
      </c>
      <c r="N149" s="43" t="s">
        <v>8</v>
      </c>
      <c r="O149" s="43" t="s">
        <v>9</v>
      </c>
      <c r="Q149" s="28" t="s">
        <v>6</v>
      </c>
      <c r="R149" s="44" t="s">
        <v>7</v>
      </c>
      <c r="S149" s="43" t="s">
        <v>8</v>
      </c>
      <c r="T149" s="43" t="s">
        <v>9</v>
      </c>
      <c r="V149" s="28" t="s">
        <v>6</v>
      </c>
      <c r="W149" s="44" t="s">
        <v>7</v>
      </c>
      <c r="X149" s="43" t="s">
        <v>8</v>
      </c>
      <c r="Y149" s="43" t="s">
        <v>9</v>
      </c>
    </row>
    <row r="150" spans="2:31">
      <c r="B150" s="1">
        <v>22336148</v>
      </c>
      <c r="C150" s="1">
        <v>4818071</v>
      </c>
      <c r="D150" s="1">
        <v>9275100</v>
      </c>
      <c r="E150" s="1">
        <v>17443090</v>
      </c>
      <c r="F150" s="2"/>
      <c r="G150" s="1">
        <v>10090430</v>
      </c>
      <c r="H150" s="1">
        <v>4646062</v>
      </c>
      <c r="I150" s="1">
        <v>5071087</v>
      </c>
      <c r="J150" s="1">
        <v>10308580</v>
      </c>
      <c r="K150" s="2"/>
      <c r="L150" s="1">
        <v>5293316</v>
      </c>
      <c r="M150" s="1">
        <v>4551162</v>
      </c>
      <c r="N150" s="1">
        <v>2753951</v>
      </c>
      <c r="O150" s="14">
        <v>6590678</v>
      </c>
      <c r="P150" s="2"/>
      <c r="Q150" s="1">
        <v>4009702</v>
      </c>
      <c r="R150" s="1">
        <v>4680150</v>
      </c>
      <c r="S150" s="1">
        <v>3046811</v>
      </c>
      <c r="T150" s="1">
        <v>2981372</v>
      </c>
      <c r="U150" s="2"/>
      <c r="V150" s="9">
        <v>4482183</v>
      </c>
      <c r="W150" s="9">
        <v>4870051</v>
      </c>
      <c r="X150" s="9">
        <v>1868772</v>
      </c>
      <c r="Y150" s="9">
        <v>4624652</v>
      </c>
      <c r="Z150" s="7"/>
    </row>
    <row r="151" spans="2:31">
      <c r="B151" s="1">
        <v>22008686</v>
      </c>
      <c r="C151" s="1">
        <v>5296955</v>
      </c>
      <c r="D151" s="1">
        <v>8281326</v>
      </c>
      <c r="E151" s="1">
        <v>19510346</v>
      </c>
      <c r="F151" s="2"/>
      <c r="G151" s="1">
        <v>10125513</v>
      </c>
      <c r="H151" s="1">
        <v>4571057</v>
      </c>
      <c r="I151" s="1">
        <v>5823930</v>
      </c>
      <c r="J151" s="1">
        <v>8679836</v>
      </c>
      <c r="K151" s="2"/>
      <c r="L151" s="1">
        <v>5438092</v>
      </c>
      <c r="M151" s="1">
        <v>4471350</v>
      </c>
      <c r="N151" s="1">
        <v>3002645</v>
      </c>
      <c r="O151" s="14">
        <v>6639348</v>
      </c>
      <c r="P151" s="2"/>
      <c r="Q151" s="1">
        <v>3988334</v>
      </c>
      <c r="R151" s="1">
        <v>4841974</v>
      </c>
      <c r="S151" s="1">
        <v>1895429</v>
      </c>
      <c r="T151" s="1">
        <v>4689361</v>
      </c>
      <c r="U151" s="2"/>
      <c r="V151" s="9">
        <v>4467526</v>
      </c>
      <c r="W151" s="9">
        <v>5081506</v>
      </c>
      <c r="X151" s="9">
        <v>1867599</v>
      </c>
      <c r="Y151" s="9">
        <v>4732687</v>
      </c>
      <c r="Z151" s="7"/>
    </row>
    <row r="152" spans="2:31">
      <c r="B152" s="1">
        <v>22520927</v>
      </c>
      <c r="C152" s="1">
        <v>5128803</v>
      </c>
      <c r="D152" s="1">
        <v>8319495</v>
      </c>
      <c r="E152" s="1">
        <v>17451412</v>
      </c>
      <c r="F152" s="2"/>
      <c r="G152" s="1">
        <v>9896167</v>
      </c>
      <c r="H152" s="1">
        <v>4850523</v>
      </c>
      <c r="I152" s="1">
        <v>4846864</v>
      </c>
      <c r="J152" s="1">
        <v>10057874</v>
      </c>
      <c r="K152" s="2"/>
      <c r="L152" s="1">
        <v>5283111</v>
      </c>
      <c r="M152" s="1">
        <v>4499691</v>
      </c>
      <c r="N152" s="1">
        <v>2903102</v>
      </c>
      <c r="O152" s="14">
        <v>6713645</v>
      </c>
      <c r="P152" s="2"/>
      <c r="Q152" s="1">
        <v>4237432</v>
      </c>
      <c r="R152" s="1">
        <v>4703057</v>
      </c>
      <c r="S152" s="1">
        <v>1927859</v>
      </c>
      <c r="T152" s="1">
        <v>4974876</v>
      </c>
      <c r="U152" s="2"/>
      <c r="V152" s="9">
        <v>4442362</v>
      </c>
      <c r="W152" s="9">
        <v>4643391</v>
      </c>
      <c r="X152" s="9">
        <v>2917572</v>
      </c>
      <c r="Y152" s="9">
        <v>4607090</v>
      </c>
      <c r="Z152" s="7"/>
    </row>
    <row r="153" spans="2:31">
      <c r="B153" s="1">
        <v>22315196</v>
      </c>
      <c r="C153" s="1">
        <v>5192271</v>
      </c>
      <c r="D153" s="1">
        <v>8232355</v>
      </c>
      <c r="E153" s="1">
        <v>17306456</v>
      </c>
      <c r="F153" s="2"/>
      <c r="G153" s="1">
        <v>9120850</v>
      </c>
      <c r="H153" s="1">
        <v>4450509</v>
      </c>
      <c r="I153" s="1">
        <v>4835497</v>
      </c>
      <c r="J153" s="1">
        <v>9993904</v>
      </c>
      <c r="K153" s="2"/>
      <c r="L153" s="1">
        <v>5298379</v>
      </c>
      <c r="M153" s="1">
        <v>4812480</v>
      </c>
      <c r="N153" s="1">
        <v>2992338</v>
      </c>
      <c r="O153" s="14">
        <v>6717255</v>
      </c>
      <c r="P153" s="2"/>
      <c r="Q153" s="1">
        <v>4157365</v>
      </c>
      <c r="R153" s="1">
        <v>4693646</v>
      </c>
      <c r="S153" s="1">
        <v>1924063</v>
      </c>
      <c r="T153" s="1">
        <v>4840029</v>
      </c>
      <c r="U153" s="2"/>
      <c r="V153" s="9">
        <v>4414365</v>
      </c>
      <c r="W153" s="9">
        <v>5090107</v>
      </c>
      <c r="X153" s="9">
        <v>1916608</v>
      </c>
      <c r="Y153" s="9">
        <v>2989703</v>
      </c>
      <c r="Z153" s="7"/>
    </row>
    <row r="154" spans="2:31">
      <c r="B154" s="1">
        <v>22267297</v>
      </c>
      <c r="C154" s="1">
        <v>5153777</v>
      </c>
      <c r="D154" s="1">
        <v>9377680</v>
      </c>
      <c r="E154" s="1">
        <v>19152172</v>
      </c>
      <c r="F154" s="2"/>
      <c r="G154" s="1">
        <v>9836815</v>
      </c>
      <c r="H154" s="1">
        <v>4493817</v>
      </c>
      <c r="I154" s="1">
        <v>4629957</v>
      </c>
      <c r="J154" s="1">
        <v>8463763</v>
      </c>
      <c r="K154" s="2"/>
      <c r="L154" s="1">
        <v>5313764</v>
      </c>
      <c r="M154" s="1">
        <v>4463506</v>
      </c>
      <c r="N154" s="1">
        <v>2926225</v>
      </c>
      <c r="O154" s="14">
        <v>6483315</v>
      </c>
      <c r="P154" s="2"/>
      <c r="Q154" s="1">
        <v>4251763</v>
      </c>
      <c r="R154" s="1">
        <v>4773681</v>
      </c>
      <c r="S154" s="1">
        <v>2003823</v>
      </c>
      <c r="T154" s="1">
        <v>4938590</v>
      </c>
      <c r="U154" s="2"/>
      <c r="V154" s="9">
        <v>4446543</v>
      </c>
      <c r="W154" s="9">
        <v>4692791</v>
      </c>
      <c r="X154" s="9">
        <v>1849861</v>
      </c>
      <c r="Y154" s="9">
        <v>4626319</v>
      </c>
      <c r="Z154" s="7"/>
    </row>
    <row r="155" spans="2:31">
      <c r="B155" s="1">
        <v>22267305</v>
      </c>
      <c r="C155" s="1">
        <v>4925954</v>
      </c>
      <c r="D155" s="1">
        <v>8340574</v>
      </c>
      <c r="E155" s="1">
        <v>17224073</v>
      </c>
      <c r="F155" s="2"/>
      <c r="G155" s="1">
        <v>9414674</v>
      </c>
      <c r="H155" s="1">
        <v>4474310</v>
      </c>
      <c r="I155" s="1">
        <v>4830498</v>
      </c>
      <c r="J155" s="1">
        <v>10072111</v>
      </c>
      <c r="K155" s="2"/>
      <c r="L155" s="1">
        <v>5259836</v>
      </c>
      <c r="M155" s="1">
        <v>4439247</v>
      </c>
      <c r="N155" s="1">
        <v>2814423</v>
      </c>
      <c r="O155" s="14">
        <v>6325541</v>
      </c>
      <c r="P155" s="2"/>
      <c r="Q155" s="1">
        <v>4135470</v>
      </c>
      <c r="R155" s="1">
        <v>4717281</v>
      </c>
      <c r="S155" s="1">
        <v>1966140</v>
      </c>
      <c r="T155" s="1">
        <v>4960565</v>
      </c>
      <c r="U155" s="2"/>
      <c r="V155" s="9">
        <v>4372904</v>
      </c>
      <c r="W155" s="9">
        <v>4768323</v>
      </c>
      <c r="X155" s="9">
        <v>1860793</v>
      </c>
      <c r="Y155" s="9">
        <v>4782711</v>
      </c>
      <c r="Z155" s="7"/>
    </row>
    <row r="156" spans="2:31">
      <c r="B156" s="1">
        <v>20601043</v>
      </c>
      <c r="C156" s="1">
        <v>5930763</v>
      </c>
      <c r="D156" s="1">
        <v>8371913</v>
      </c>
      <c r="E156" s="1">
        <v>19269180</v>
      </c>
      <c r="F156" s="2"/>
      <c r="G156" s="1">
        <v>10130312</v>
      </c>
      <c r="H156" s="1">
        <v>4477255</v>
      </c>
      <c r="I156" s="1">
        <v>4867883</v>
      </c>
      <c r="J156" s="1">
        <v>9896014</v>
      </c>
      <c r="K156" s="2"/>
      <c r="L156" s="1">
        <v>5210519</v>
      </c>
      <c r="M156" s="1">
        <v>4542301</v>
      </c>
      <c r="N156" s="1">
        <v>2835734</v>
      </c>
      <c r="O156" s="14">
        <v>4064939</v>
      </c>
      <c r="P156" s="2"/>
      <c r="Q156" s="1">
        <v>4237980</v>
      </c>
      <c r="R156" s="1">
        <v>4828031</v>
      </c>
      <c r="S156" s="1">
        <v>1926431</v>
      </c>
      <c r="T156" s="1">
        <v>2860738</v>
      </c>
      <c r="U156" s="2"/>
      <c r="V156" s="9">
        <v>4577153</v>
      </c>
      <c r="W156" s="9">
        <v>4793851</v>
      </c>
      <c r="X156" s="9">
        <v>1953430</v>
      </c>
      <c r="Y156" s="9">
        <v>4728294</v>
      </c>
      <c r="Z156" s="7"/>
    </row>
    <row r="157" spans="2:31">
      <c r="B157" s="1">
        <v>22207271</v>
      </c>
      <c r="C157" s="1">
        <v>5568434</v>
      </c>
      <c r="D157" s="1">
        <v>9299825</v>
      </c>
      <c r="E157" s="1">
        <v>17208428</v>
      </c>
      <c r="F157" s="2"/>
      <c r="G157" s="1">
        <v>10064136</v>
      </c>
      <c r="H157" s="1">
        <v>4740088</v>
      </c>
      <c r="I157" s="1">
        <v>4539532</v>
      </c>
      <c r="J157" s="1">
        <v>8468297</v>
      </c>
      <c r="K157" s="2"/>
      <c r="L157" s="1">
        <v>5120956</v>
      </c>
      <c r="M157" s="1">
        <v>4771331</v>
      </c>
      <c r="N157" s="1">
        <v>3687487</v>
      </c>
      <c r="O157" s="14">
        <v>7058083</v>
      </c>
      <c r="P157" s="2"/>
      <c r="Q157" s="1">
        <v>4100622</v>
      </c>
      <c r="R157" s="1">
        <v>4755414</v>
      </c>
      <c r="S157" s="1">
        <v>1968390</v>
      </c>
      <c r="T157" s="1">
        <v>4947774</v>
      </c>
      <c r="U157" s="2"/>
      <c r="V157" s="9">
        <v>4397019</v>
      </c>
      <c r="W157" s="9">
        <v>4757653</v>
      </c>
      <c r="X157" s="9">
        <v>1902562</v>
      </c>
      <c r="Y157" s="9">
        <v>4531635</v>
      </c>
      <c r="Z157" s="7"/>
    </row>
    <row r="158" spans="2:31">
      <c r="B158" s="1">
        <v>21201047</v>
      </c>
      <c r="C158" s="1">
        <v>5041985</v>
      </c>
      <c r="D158" s="1">
        <v>8362169</v>
      </c>
      <c r="E158" s="1">
        <v>17117760</v>
      </c>
      <c r="F158" s="2"/>
      <c r="G158" s="1">
        <v>10183109</v>
      </c>
      <c r="H158" s="1">
        <v>4739492</v>
      </c>
      <c r="I158" s="1">
        <v>5604446</v>
      </c>
      <c r="J158" s="1">
        <v>10445102</v>
      </c>
      <c r="K158" s="2"/>
      <c r="L158" s="1">
        <v>5406063</v>
      </c>
      <c r="M158" s="1">
        <v>4293789</v>
      </c>
      <c r="N158" s="1">
        <v>2859325</v>
      </c>
      <c r="O158" s="14">
        <v>6695033</v>
      </c>
      <c r="P158" s="2"/>
      <c r="Q158" s="1">
        <v>4074122</v>
      </c>
      <c r="R158" s="1">
        <v>4701109</v>
      </c>
      <c r="S158" s="1">
        <v>1921776</v>
      </c>
      <c r="T158" s="1">
        <v>4652489</v>
      </c>
      <c r="U158" s="2"/>
      <c r="V158" s="9">
        <v>4297876</v>
      </c>
      <c r="W158" s="9">
        <v>4862874</v>
      </c>
      <c r="X158" s="9">
        <v>1898407</v>
      </c>
      <c r="Y158" s="9">
        <v>4723789</v>
      </c>
      <c r="Z158" s="7"/>
    </row>
    <row r="159" spans="2:31">
      <c r="B159" s="1">
        <v>20998682</v>
      </c>
      <c r="C159" s="1">
        <v>5014004</v>
      </c>
      <c r="D159" s="1">
        <v>8364407</v>
      </c>
      <c r="E159" s="1">
        <v>19009826</v>
      </c>
      <c r="F159" s="2"/>
      <c r="G159" s="1">
        <v>10108313</v>
      </c>
      <c r="H159" s="1">
        <v>4348159</v>
      </c>
      <c r="I159" s="1">
        <v>4918514</v>
      </c>
      <c r="J159" s="1">
        <v>10190740</v>
      </c>
      <c r="K159" s="2"/>
      <c r="L159" s="1">
        <v>4898572</v>
      </c>
      <c r="M159" s="1">
        <v>4678206</v>
      </c>
      <c r="N159" s="1">
        <v>2745588</v>
      </c>
      <c r="O159" s="14">
        <v>6446625</v>
      </c>
      <c r="P159" s="2"/>
      <c r="Q159" s="1">
        <v>4143950</v>
      </c>
      <c r="R159" s="1">
        <v>4790318</v>
      </c>
      <c r="S159" s="1">
        <v>1874081</v>
      </c>
      <c r="T159" s="1">
        <v>4891927</v>
      </c>
      <c r="U159" s="2"/>
      <c r="V159" s="9">
        <v>4260071</v>
      </c>
      <c r="W159" s="9">
        <v>4772005</v>
      </c>
      <c r="X159" s="9">
        <v>1868710</v>
      </c>
      <c r="Y159" s="9">
        <v>4569227</v>
      </c>
      <c r="Z159" s="7"/>
    </row>
    <row r="160" spans="2:31">
      <c r="B160" s="1">
        <v>20335336</v>
      </c>
      <c r="C160" s="1">
        <v>4999294</v>
      </c>
      <c r="D160" s="1">
        <v>8346971</v>
      </c>
      <c r="E160" s="1">
        <v>17439170</v>
      </c>
      <c r="F160" s="2"/>
      <c r="G160" s="1">
        <v>9859113</v>
      </c>
      <c r="H160" s="1">
        <v>4575419</v>
      </c>
      <c r="I160" s="1">
        <v>4821626</v>
      </c>
      <c r="J160" s="1">
        <v>8473966</v>
      </c>
      <c r="K160" s="2"/>
      <c r="L160" s="1">
        <v>4535900</v>
      </c>
      <c r="M160" s="1">
        <v>4826925</v>
      </c>
      <c r="N160" s="1">
        <v>2826501</v>
      </c>
      <c r="O160" s="14">
        <v>6784176</v>
      </c>
      <c r="P160" s="2"/>
      <c r="Q160" s="1">
        <v>4099792</v>
      </c>
      <c r="R160" s="1">
        <v>4720981</v>
      </c>
      <c r="S160" s="1">
        <v>1987733</v>
      </c>
      <c r="T160" s="1">
        <v>4802362</v>
      </c>
      <c r="U160" s="2"/>
      <c r="V160" s="9">
        <v>4045577</v>
      </c>
      <c r="W160" s="9">
        <v>4708084</v>
      </c>
      <c r="X160" s="9">
        <v>1865265</v>
      </c>
      <c r="Y160" s="9">
        <v>4740903</v>
      </c>
      <c r="Z160" s="7"/>
    </row>
    <row r="161" spans="2:26">
      <c r="B161" s="1">
        <v>20350967</v>
      </c>
      <c r="C161" s="1">
        <v>4944503</v>
      </c>
      <c r="D161" s="1">
        <v>9426255</v>
      </c>
      <c r="E161" s="1">
        <v>19316284</v>
      </c>
      <c r="F161" s="2"/>
      <c r="G161" s="1">
        <v>9545146</v>
      </c>
      <c r="H161" s="1">
        <v>4816978</v>
      </c>
      <c r="I161" s="1">
        <v>4711793</v>
      </c>
      <c r="J161" s="1">
        <v>10272930</v>
      </c>
      <c r="K161" s="2"/>
      <c r="L161" s="1">
        <v>5238157</v>
      </c>
      <c r="M161" s="1">
        <v>4747342</v>
      </c>
      <c r="N161" s="1">
        <v>2732999</v>
      </c>
      <c r="O161" s="14">
        <v>4995422</v>
      </c>
      <c r="P161" s="2"/>
      <c r="Q161" s="1">
        <v>4137551</v>
      </c>
      <c r="R161" s="1">
        <v>4780167</v>
      </c>
      <c r="S161" s="1">
        <v>2015406</v>
      </c>
      <c r="T161" s="1">
        <v>4870840</v>
      </c>
      <c r="U161" s="2"/>
      <c r="V161" s="9">
        <v>4241849</v>
      </c>
      <c r="W161" s="9">
        <v>4770460</v>
      </c>
      <c r="X161" s="9">
        <v>1862877</v>
      </c>
      <c r="Y161" s="9">
        <v>5435676</v>
      </c>
      <c r="Z161" s="7"/>
    </row>
    <row r="162" spans="2:26">
      <c r="B162" s="1">
        <v>22288875</v>
      </c>
      <c r="C162" s="1">
        <v>5097339</v>
      </c>
      <c r="D162" s="1">
        <v>8442027</v>
      </c>
      <c r="E162" s="1">
        <v>17247436</v>
      </c>
      <c r="F162" s="2"/>
      <c r="G162" s="1">
        <v>9980008</v>
      </c>
      <c r="H162" s="1">
        <v>4639780</v>
      </c>
      <c r="I162" s="1">
        <v>4654927</v>
      </c>
      <c r="J162" s="1">
        <v>10320619</v>
      </c>
      <c r="K162" s="2"/>
      <c r="L162" s="1">
        <v>5285778</v>
      </c>
      <c r="M162" s="1">
        <v>4645043</v>
      </c>
      <c r="N162" s="1">
        <v>2782717</v>
      </c>
      <c r="O162" s="14">
        <v>6580495</v>
      </c>
      <c r="P162" s="2"/>
      <c r="Q162" s="1">
        <v>4254017</v>
      </c>
      <c r="R162" s="1">
        <v>4744967</v>
      </c>
      <c r="S162" s="1">
        <v>1994425</v>
      </c>
      <c r="T162" s="1">
        <v>4865034</v>
      </c>
      <c r="U162" s="2"/>
      <c r="V162" s="9">
        <v>4318281</v>
      </c>
      <c r="W162" s="9">
        <v>4879684</v>
      </c>
      <c r="X162" s="9">
        <v>1850016</v>
      </c>
      <c r="Y162" s="9">
        <v>4634510</v>
      </c>
      <c r="Z162" s="7"/>
    </row>
    <row r="163" spans="2:26">
      <c r="B163" s="1">
        <v>22588164</v>
      </c>
      <c r="C163" s="1">
        <v>5142082</v>
      </c>
      <c r="D163" s="1">
        <v>8340031</v>
      </c>
      <c r="E163" s="1">
        <v>17270806</v>
      </c>
      <c r="F163" s="2"/>
      <c r="G163" s="1">
        <v>10617964</v>
      </c>
      <c r="H163" s="1">
        <v>4786478</v>
      </c>
      <c r="I163" s="1">
        <v>4727205</v>
      </c>
      <c r="J163" s="1">
        <v>7968892</v>
      </c>
      <c r="K163" s="2"/>
      <c r="L163" s="1">
        <v>5156800</v>
      </c>
      <c r="M163" s="1">
        <v>4475763</v>
      </c>
      <c r="N163" s="1">
        <v>2962121</v>
      </c>
      <c r="O163" s="14">
        <v>6924331</v>
      </c>
      <c r="P163" s="2"/>
      <c r="Q163" s="1">
        <v>4316455</v>
      </c>
      <c r="R163" s="1">
        <v>4788104</v>
      </c>
      <c r="S163" s="1">
        <v>1995416</v>
      </c>
      <c r="T163" s="1">
        <v>2613843</v>
      </c>
      <c r="U163" s="2"/>
      <c r="V163" s="9">
        <v>4317715</v>
      </c>
      <c r="W163" s="9">
        <v>4897254</v>
      </c>
      <c r="X163" s="9">
        <v>1878741</v>
      </c>
      <c r="Y163" s="9">
        <v>4797917</v>
      </c>
      <c r="Z163" s="7"/>
    </row>
    <row r="164" spans="2:26">
      <c r="B164" s="1">
        <v>22010090</v>
      </c>
      <c r="C164" s="1">
        <v>4847937</v>
      </c>
      <c r="D164" s="1">
        <v>8400445</v>
      </c>
      <c r="E164" s="1">
        <v>19236225</v>
      </c>
      <c r="F164" s="2"/>
      <c r="G164" s="1">
        <v>10714037</v>
      </c>
      <c r="H164" s="1">
        <v>4588567</v>
      </c>
      <c r="I164" s="1">
        <v>5818668</v>
      </c>
      <c r="J164" s="1">
        <v>10135651</v>
      </c>
      <c r="K164" s="2"/>
      <c r="L164" s="1">
        <v>5388268</v>
      </c>
      <c r="M164" s="1">
        <v>4554412</v>
      </c>
      <c r="N164" s="1">
        <v>2689812</v>
      </c>
      <c r="O164" s="14">
        <v>6524369</v>
      </c>
      <c r="P164" s="2"/>
      <c r="Q164" s="1">
        <v>4087626</v>
      </c>
      <c r="R164" s="1">
        <v>4802843</v>
      </c>
      <c r="S164" s="1">
        <v>1965427</v>
      </c>
      <c r="T164" s="1">
        <v>4702215</v>
      </c>
      <c r="U164" s="2"/>
      <c r="V164" s="9">
        <v>4385729</v>
      </c>
      <c r="W164" s="9">
        <v>4799581</v>
      </c>
      <c r="X164" s="9">
        <v>1829198</v>
      </c>
      <c r="Y164" s="9">
        <v>4695168</v>
      </c>
      <c r="Z164" s="7"/>
    </row>
    <row r="165" spans="2:26">
      <c r="B165" s="1">
        <v>20984570</v>
      </c>
      <c r="C165" s="1">
        <v>4890842</v>
      </c>
      <c r="D165" s="1">
        <v>9372430</v>
      </c>
      <c r="E165" s="1">
        <v>17119062</v>
      </c>
      <c r="F165" s="2"/>
      <c r="G165" s="1">
        <v>10402931</v>
      </c>
      <c r="H165" s="1">
        <v>4513468</v>
      </c>
      <c r="I165" s="1">
        <v>4753257</v>
      </c>
      <c r="J165" s="1">
        <v>10097578</v>
      </c>
      <c r="K165" s="2"/>
      <c r="L165" s="1">
        <v>5495729</v>
      </c>
      <c r="M165" s="1">
        <v>4659537</v>
      </c>
      <c r="N165" s="1">
        <v>2904044</v>
      </c>
      <c r="O165" s="14">
        <v>4690702</v>
      </c>
      <c r="P165" s="2"/>
      <c r="Q165" s="1">
        <v>3791058</v>
      </c>
      <c r="R165" s="1">
        <v>4662617</v>
      </c>
      <c r="S165" s="1">
        <v>1963795</v>
      </c>
      <c r="T165" s="1">
        <v>4914797</v>
      </c>
      <c r="U165" s="2"/>
      <c r="V165" s="9">
        <v>4531055</v>
      </c>
      <c r="W165" s="9">
        <v>4761404</v>
      </c>
      <c r="X165" s="9">
        <v>1868676</v>
      </c>
      <c r="Y165" s="9">
        <v>4667426</v>
      </c>
      <c r="Z165" s="7"/>
    </row>
    <row r="166" spans="2:26">
      <c r="B166" s="1">
        <v>22377505</v>
      </c>
      <c r="C166" s="1">
        <v>4984530</v>
      </c>
      <c r="D166" s="1">
        <v>8374611</v>
      </c>
      <c r="E166" s="1">
        <v>19091194</v>
      </c>
      <c r="F166" s="2"/>
      <c r="G166" s="1">
        <v>10464882</v>
      </c>
      <c r="H166" s="1">
        <v>4432087</v>
      </c>
      <c r="I166" s="1">
        <v>4835674</v>
      </c>
      <c r="J166" s="1">
        <v>10872348</v>
      </c>
      <c r="K166" s="2"/>
      <c r="L166" s="1">
        <v>5273031</v>
      </c>
      <c r="M166" s="1">
        <v>4472795</v>
      </c>
      <c r="N166" s="1">
        <v>2886282</v>
      </c>
      <c r="O166" s="14">
        <v>6228743</v>
      </c>
      <c r="P166" s="2"/>
      <c r="Q166" s="1">
        <v>4043078</v>
      </c>
      <c r="R166" s="1">
        <v>4851498</v>
      </c>
      <c r="S166" s="1">
        <v>2974531</v>
      </c>
      <c r="T166" s="1">
        <v>4910892</v>
      </c>
      <c r="U166" s="2"/>
      <c r="V166" s="9">
        <v>4600452</v>
      </c>
      <c r="W166" s="9">
        <v>4848052</v>
      </c>
      <c r="X166" s="9">
        <v>1902680</v>
      </c>
      <c r="Y166" s="9">
        <v>2604737</v>
      </c>
      <c r="Z166" s="7"/>
    </row>
    <row r="167" spans="2:26">
      <c r="B167" s="1">
        <v>21889889</v>
      </c>
      <c r="C167" s="1">
        <v>4959432</v>
      </c>
      <c r="D167" s="1">
        <v>8215977</v>
      </c>
      <c r="E167" s="1">
        <v>17041548</v>
      </c>
      <c r="F167" s="2"/>
      <c r="G167" s="1">
        <v>10322612</v>
      </c>
      <c r="H167" s="1">
        <v>4788358</v>
      </c>
      <c r="I167" s="1">
        <v>4792143</v>
      </c>
      <c r="J167" s="1">
        <v>9911676</v>
      </c>
      <c r="K167" s="2"/>
      <c r="L167" s="1">
        <v>6143588</v>
      </c>
      <c r="M167" s="1">
        <v>4790931</v>
      </c>
      <c r="N167" s="1">
        <v>2810803</v>
      </c>
      <c r="O167" s="14">
        <v>6849890</v>
      </c>
      <c r="P167" s="2"/>
      <c r="Q167" s="1">
        <v>4053233</v>
      </c>
      <c r="R167" s="1">
        <v>4846036</v>
      </c>
      <c r="S167" s="1">
        <v>1992678</v>
      </c>
      <c r="T167" s="1">
        <v>4774240</v>
      </c>
      <c r="U167" s="2"/>
      <c r="V167" s="9">
        <v>4540892</v>
      </c>
      <c r="W167" s="9">
        <v>4743313</v>
      </c>
      <c r="X167" s="9">
        <v>1832162</v>
      </c>
      <c r="Y167" s="9">
        <v>4504027</v>
      </c>
      <c r="Z167" s="7"/>
    </row>
    <row r="168" spans="2:26">
      <c r="B168" s="1">
        <v>21096990</v>
      </c>
      <c r="C168" s="1">
        <v>4969622</v>
      </c>
      <c r="D168" s="1">
        <v>8309016</v>
      </c>
      <c r="E168" s="1">
        <v>19115337</v>
      </c>
      <c r="F168" s="2"/>
      <c r="G168" s="1">
        <v>10548298</v>
      </c>
      <c r="H168" s="1">
        <v>4606892</v>
      </c>
      <c r="I168" s="1">
        <v>4705807</v>
      </c>
      <c r="J168" s="1">
        <v>10035915</v>
      </c>
      <c r="K168" s="2"/>
      <c r="L168" s="1">
        <v>5399752</v>
      </c>
      <c r="M168" s="1">
        <v>4710619</v>
      </c>
      <c r="N168" s="1">
        <v>2749830</v>
      </c>
      <c r="O168" s="14">
        <v>6708867</v>
      </c>
      <c r="P168" s="2"/>
      <c r="Q168" s="1">
        <v>4240150</v>
      </c>
      <c r="R168" s="1">
        <v>4742035</v>
      </c>
      <c r="S168" s="1">
        <v>1992247</v>
      </c>
      <c r="T168" s="1">
        <v>5109766</v>
      </c>
      <c r="U168" s="2"/>
      <c r="V168" s="9">
        <v>4488432</v>
      </c>
      <c r="W168" s="9">
        <v>4764521</v>
      </c>
      <c r="X168" s="9">
        <v>2856427</v>
      </c>
      <c r="Y168" s="9">
        <v>4704574</v>
      </c>
      <c r="Z168" s="7"/>
    </row>
    <row r="169" spans="2:26">
      <c r="B169" s="1">
        <v>20152856</v>
      </c>
      <c r="C169" s="1">
        <v>4813578</v>
      </c>
      <c r="D169" s="1">
        <v>9255756</v>
      </c>
      <c r="E169" s="1">
        <v>17348038</v>
      </c>
      <c r="F169" s="2"/>
      <c r="G169" s="1">
        <v>10665235</v>
      </c>
      <c r="H169" s="1">
        <v>4515158</v>
      </c>
      <c r="I169" s="1">
        <v>4874118</v>
      </c>
      <c r="J169" s="1">
        <v>9954377</v>
      </c>
      <c r="K169" s="2"/>
      <c r="L169" s="1">
        <v>5051239</v>
      </c>
      <c r="M169" s="1">
        <v>4805098</v>
      </c>
      <c r="N169" s="1">
        <v>4002191</v>
      </c>
      <c r="O169" s="14">
        <v>6792331</v>
      </c>
      <c r="P169" s="2"/>
      <c r="Q169" s="1">
        <v>4185852</v>
      </c>
      <c r="R169" s="1">
        <v>4670150</v>
      </c>
      <c r="S169" s="1">
        <v>1989252</v>
      </c>
      <c r="T169" s="1">
        <v>4923587</v>
      </c>
      <c r="U169" s="2"/>
      <c r="V169" s="9">
        <v>4357348</v>
      </c>
      <c r="W169" s="9">
        <v>4851018</v>
      </c>
      <c r="X169" s="9">
        <v>1846428</v>
      </c>
      <c r="Y169" s="9">
        <v>4701227</v>
      </c>
      <c r="Z169" s="7"/>
    </row>
    <row r="170" spans="2:26">
      <c r="B170" s="1">
        <v>21321635</v>
      </c>
      <c r="C170" s="1">
        <v>4915709</v>
      </c>
      <c r="D170" s="1">
        <v>8235643</v>
      </c>
      <c r="E170" s="1">
        <v>17271386</v>
      </c>
      <c r="F170" s="2"/>
      <c r="G170" s="1">
        <v>10615397</v>
      </c>
      <c r="H170" s="1">
        <v>4781083</v>
      </c>
      <c r="I170" s="1">
        <v>4750147</v>
      </c>
      <c r="J170" s="1">
        <v>8744743</v>
      </c>
      <c r="K170" s="2"/>
      <c r="L170" s="1">
        <v>4984929</v>
      </c>
      <c r="M170" s="1">
        <v>4626751</v>
      </c>
      <c r="N170" s="1">
        <v>2765998</v>
      </c>
      <c r="O170" s="14">
        <v>4545145</v>
      </c>
      <c r="P170" s="2"/>
      <c r="Q170" s="1">
        <v>4029080</v>
      </c>
      <c r="R170" s="1">
        <v>4778249</v>
      </c>
      <c r="S170" s="1">
        <v>1962051</v>
      </c>
      <c r="T170" s="1">
        <v>5005525</v>
      </c>
      <c r="U170" s="2"/>
      <c r="V170" s="9">
        <v>4442311</v>
      </c>
      <c r="W170" s="9">
        <v>4703415</v>
      </c>
      <c r="X170" s="9">
        <v>1851318</v>
      </c>
      <c r="Y170" s="9">
        <v>4698777</v>
      </c>
      <c r="Z170" s="7"/>
    </row>
    <row r="171" spans="2:26">
      <c r="B171" s="1">
        <v>21714519</v>
      </c>
      <c r="C171" s="1">
        <v>4920400</v>
      </c>
      <c r="D171" s="1">
        <v>8423966</v>
      </c>
      <c r="E171" s="1">
        <v>19268775</v>
      </c>
      <c r="F171" s="2"/>
      <c r="G171" s="1">
        <v>10706074</v>
      </c>
      <c r="H171" s="1">
        <v>4633758</v>
      </c>
      <c r="I171" s="1">
        <v>5897139</v>
      </c>
      <c r="J171" s="1">
        <v>10297163</v>
      </c>
      <c r="K171" s="2"/>
      <c r="L171" s="1">
        <v>4693007</v>
      </c>
      <c r="M171" s="1">
        <v>4819762</v>
      </c>
      <c r="N171" s="1">
        <v>2923661</v>
      </c>
      <c r="O171" s="14">
        <v>6412513</v>
      </c>
      <c r="P171" s="2"/>
      <c r="Q171" s="1">
        <v>4099473</v>
      </c>
      <c r="R171" s="1">
        <v>4834902</v>
      </c>
      <c r="S171" s="1">
        <v>1999490</v>
      </c>
      <c r="T171" s="1">
        <v>4631709</v>
      </c>
      <c r="U171" s="2"/>
      <c r="V171" s="9">
        <v>4488251</v>
      </c>
      <c r="W171" s="9">
        <v>4789603</v>
      </c>
      <c r="X171" s="9">
        <v>1841018</v>
      </c>
      <c r="Y171" s="9">
        <v>4838657</v>
      </c>
      <c r="Z171" s="7"/>
    </row>
    <row r="172" spans="2:26">
      <c r="B172" s="1">
        <v>20493967</v>
      </c>
      <c r="C172" s="1">
        <v>4938923</v>
      </c>
      <c r="D172" s="1">
        <v>8333945</v>
      </c>
      <c r="E172" s="1">
        <v>17239443</v>
      </c>
      <c r="F172" s="2"/>
      <c r="G172" s="1">
        <v>10076488</v>
      </c>
      <c r="H172" s="1">
        <v>4523227</v>
      </c>
      <c r="I172" s="1">
        <v>4800623</v>
      </c>
      <c r="J172" s="1">
        <v>10484384</v>
      </c>
      <c r="K172" s="2"/>
      <c r="L172" s="1">
        <v>5071378</v>
      </c>
      <c r="M172" s="1">
        <v>4589096</v>
      </c>
      <c r="N172" s="1">
        <v>2820934</v>
      </c>
      <c r="O172" s="14">
        <v>6923682</v>
      </c>
      <c r="P172" s="2"/>
      <c r="Q172" s="1">
        <v>4243916</v>
      </c>
      <c r="R172" s="1">
        <v>4755273</v>
      </c>
      <c r="S172" s="1">
        <v>1991878</v>
      </c>
      <c r="T172" s="1">
        <v>4918708</v>
      </c>
      <c r="U172" s="2"/>
      <c r="V172" s="9">
        <v>4384646</v>
      </c>
      <c r="W172" s="9">
        <v>4838367</v>
      </c>
      <c r="X172" s="9">
        <v>1917942</v>
      </c>
      <c r="Y172" s="9">
        <v>4565225</v>
      </c>
      <c r="Z172" s="7"/>
    </row>
    <row r="173" spans="2:26">
      <c r="B173" s="1">
        <v>21495117</v>
      </c>
      <c r="C173" s="1">
        <v>4828010</v>
      </c>
      <c r="D173" s="1">
        <v>9377787</v>
      </c>
      <c r="E173" s="1">
        <v>19034049</v>
      </c>
      <c r="F173" s="2"/>
      <c r="G173" s="1">
        <v>9889912</v>
      </c>
      <c r="H173" s="1">
        <v>4698531</v>
      </c>
      <c r="I173" s="1">
        <v>4683606</v>
      </c>
      <c r="J173" s="1">
        <v>7832849</v>
      </c>
      <c r="K173" s="2"/>
      <c r="L173" s="1">
        <v>5355670</v>
      </c>
      <c r="M173" s="1">
        <v>4448801</v>
      </c>
      <c r="N173" s="1">
        <v>2915594</v>
      </c>
      <c r="O173" s="14">
        <v>6919220</v>
      </c>
      <c r="P173" s="2"/>
      <c r="Q173" s="1">
        <v>4117222</v>
      </c>
      <c r="R173" s="1">
        <v>4835452</v>
      </c>
      <c r="S173" s="1">
        <v>1943005</v>
      </c>
      <c r="T173" s="1">
        <v>4699627</v>
      </c>
      <c r="U173" s="2"/>
      <c r="V173" s="9">
        <v>4545847</v>
      </c>
      <c r="W173" s="9">
        <v>4783040</v>
      </c>
      <c r="X173" s="9">
        <v>1935960</v>
      </c>
      <c r="Y173" s="9">
        <v>2810161</v>
      </c>
      <c r="Z173" s="7"/>
    </row>
    <row r="174" spans="2:26">
      <c r="B174" s="1">
        <v>21005475</v>
      </c>
      <c r="C174" s="1">
        <v>5065983</v>
      </c>
      <c r="D174" s="1">
        <v>8411109</v>
      </c>
      <c r="E174" s="1">
        <v>17375799</v>
      </c>
      <c r="F174" s="2"/>
      <c r="G174" s="1">
        <v>10553531</v>
      </c>
      <c r="H174" s="1">
        <v>4781867</v>
      </c>
      <c r="I174" s="1">
        <v>4816876</v>
      </c>
      <c r="J174" s="1">
        <v>10967193</v>
      </c>
      <c r="K174" s="2"/>
      <c r="L174" s="1">
        <v>5487966</v>
      </c>
      <c r="M174" s="1">
        <v>4693154</v>
      </c>
      <c r="N174" s="1">
        <v>2741923</v>
      </c>
      <c r="O174" s="14">
        <v>6750041</v>
      </c>
      <c r="P174" s="2"/>
      <c r="Q174" s="1">
        <v>4226523</v>
      </c>
      <c r="R174" s="1">
        <v>4782165</v>
      </c>
      <c r="S174" s="1">
        <v>1891830</v>
      </c>
      <c r="T174" s="1">
        <v>4936063</v>
      </c>
      <c r="U174" s="2"/>
      <c r="V174" s="9">
        <v>4447830</v>
      </c>
      <c r="W174" s="9">
        <v>4756746</v>
      </c>
      <c r="X174" s="9">
        <v>1851752</v>
      </c>
      <c r="Y174" s="9">
        <v>4682200</v>
      </c>
      <c r="Z174" s="7"/>
    </row>
    <row r="175" spans="2:26">
      <c r="B175" s="1">
        <v>20137335</v>
      </c>
      <c r="C175" s="1">
        <v>5243154</v>
      </c>
      <c r="D175" s="1">
        <v>8392150</v>
      </c>
      <c r="E175" s="1">
        <v>16924093</v>
      </c>
      <c r="F175" s="2"/>
      <c r="G175" s="1">
        <v>10635268</v>
      </c>
      <c r="H175" s="1">
        <v>4442722</v>
      </c>
      <c r="I175" s="1">
        <v>4790059</v>
      </c>
      <c r="J175" s="1">
        <v>9973028</v>
      </c>
      <c r="K175" s="2"/>
      <c r="L175" s="1">
        <v>5283762</v>
      </c>
      <c r="M175" s="1">
        <v>4578569</v>
      </c>
      <c r="N175" s="1">
        <v>2736934</v>
      </c>
      <c r="O175" s="14">
        <v>4396163</v>
      </c>
      <c r="P175" s="2"/>
      <c r="Q175" s="1">
        <v>4071572</v>
      </c>
      <c r="R175" s="1">
        <v>4651125</v>
      </c>
      <c r="S175" s="1">
        <v>1870788</v>
      </c>
      <c r="T175" s="1">
        <v>4974038</v>
      </c>
      <c r="U175" s="2"/>
      <c r="V175" s="9">
        <v>4549974</v>
      </c>
      <c r="W175" s="9">
        <v>4744677</v>
      </c>
      <c r="X175" s="9">
        <v>1831179</v>
      </c>
      <c r="Y175" s="9">
        <v>4847064</v>
      </c>
      <c r="Z175" s="7"/>
    </row>
    <row r="176" spans="2:26">
      <c r="B176" s="1">
        <v>19580202</v>
      </c>
      <c r="C176" s="1">
        <v>4936090</v>
      </c>
      <c r="D176" s="1">
        <v>8411683</v>
      </c>
      <c r="E176" s="1">
        <v>19173293</v>
      </c>
      <c r="F176" s="2"/>
      <c r="G176" s="1">
        <v>10580996</v>
      </c>
      <c r="H176" s="1">
        <v>4702826</v>
      </c>
      <c r="I176" s="1">
        <v>4840817</v>
      </c>
      <c r="J176" s="1">
        <v>8519650</v>
      </c>
      <c r="K176" s="2"/>
      <c r="L176" s="1">
        <v>5359747</v>
      </c>
      <c r="M176" s="1">
        <v>4475524</v>
      </c>
      <c r="N176" s="1">
        <v>2767298</v>
      </c>
      <c r="O176" s="14">
        <v>6529692</v>
      </c>
      <c r="P176" s="2"/>
      <c r="Q176" s="1">
        <v>4082493</v>
      </c>
      <c r="R176" s="1">
        <v>4901544</v>
      </c>
      <c r="S176" s="1">
        <v>1896065</v>
      </c>
      <c r="T176" s="1">
        <v>2579805</v>
      </c>
      <c r="U176" s="2"/>
      <c r="V176" s="9">
        <v>4588099</v>
      </c>
      <c r="W176" s="9">
        <v>4850515</v>
      </c>
      <c r="X176" s="9">
        <v>1883727</v>
      </c>
      <c r="Y176" s="9">
        <v>4782408</v>
      </c>
      <c r="Z176" s="7"/>
    </row>
    <row r="177" spans="1:26">
      <c r="B177" s="1">
        <v>19462634</v>
      </c>
      <c r="C177" s="1">
        <v>4839736</v>
      </c>
      <c r="D177" s="1">
        <v>9246097</v>
      </c>
      <c r="E177" s="1">
        <v>17496334</v>
      </c>
      <c r="F177" s="2"/>
      <c r="G177" s="1">
        <v>10800612</v>
      </c>
      <c r="H177" s="1">
        <v>4558688</v>
      </c>
      <c r="I177" s="1">
        <v>4752755</v>
      </c>
      <c r="J177" s="1">
        <v>10316161</v>
      </c>
      <c r="K177" s="2"/>
      <c r="L177" s="1">
        <v>5298997</v>
      </c>
      <c r="M177" s="1">
        <v>4555001</v>
      </c>
      <c r="N177" s="1">
        <v>2901290</v>
      </c>
      <c r="O177" s="14">
        <v>6690596</v>
      </c>
      <c r="P177" s="2"/>
      <c r="Q177" s="1">
        <v>4166023</v>
      </c>
      <c r="R177" s="1">
        <v>4714078</v>
      </c>
      <c r="S177" s="1">
        <v>1910991</v>
      </c>
      <c r="T177" s="1">
        <v>4975099</v>
      </c>
      <c r="U177" s="2"/>
      <c r="V177" s="9">
        <v>4370241</v>
      </c>
      <c r="W177" s="9">
        <v>4691791</v>
      </c>
      <c r="X177" s="9">
        <v>1927787</v>
      </c>
      <c r="Y177" s="9">
        <v>4735280</v>
      </c>
      <c r="Z177" s="7"/>
    </row>
    <row r="178" spans="1:26">
      <c r="B178" s="1">
        <v>21789171</v>
      </c>
      <c r="C178" s="1">
        <v>4956292</v>
      </c>
      <c r="D178" s="1">
        <v>8441789</v>
      </c>
      <c r="E178" s="1">
        <v>19271288</v>
      </c>
      <c r="F178" s="2"/>
      <c r="G178" s="1">
        <v>10753523</v>
      </c>
      <c r="H178" s="1">
        <v>4607128</v>
      </c>
      <c r="I178" s="1">
        <v>5572799</v>
      </c>
      <c r="J178" s="1">
        <v>10100398</v>
      </c>
      <c r="K178" s="2"/>
      <c r="L178" s="1">
        <v>5341026</v>
      </c>
      <c r="M178" s="1">
        <v>4715896</v>
      </c>
      <c r="N178" s="1">
        <v>2782404</v>
      </c>
      <c r="O178" s="14">
        <v>6739382</v>
      </c>
      <c r="P178" s="2"/>
      <c r="Q178" s="1">
        <v>4168292</v>
      </c>
      <c r="R178" s="1">
        <v>4786097</v>
      </c>
      <c r="S178" s="1">
        <v>1962503</v>
      </c>
      <c r="T178" s="1">
        <v>4677919</v>
      </c>
      <c r="U178" s="2"/>
      <c r="V178" s="9">
        <v>4368594</v>
      </c>
      <c r="W178" s="9">
        <v>4862692</v>
      </c>
      <c r="X178" s="9">
        <v>1839277</v>
      </c>
      <c r="Y178" s="9">
        <v>4653705</v>
      </c>
      <c r="Z178" s="7"/>
    </row>
    <row r="179" spans="1:26">
      <c r="B179" s="1">
        <v>21421241</v>
      </c>
      <c r="C179" s="1">
        <v>4915215</v>
      </c>
      <c r="D179" s="1">
        <v>8393358</v>
      </c>
      <c r="E179" s="1">
        <v>17258190</v>
      </c>
      <c r="F179" s="2"/>
      <c r="G179" s="1">
        <v>10701624</v>
      </c>
      <c r="H179" s="1">
        <v>4445354</v>
      </c>
      <c r="I179" s="1">
        <v>4745523</v>
      </c>
      <c r="J179" s="1">
        <v>8060761</v>
      </c>
      <c r="K179" s="2"/>
      <c r="L179" s="1">
        <v>5598085</v>
      </c>
      <c r="M179" s="1">
        <v>4607204</v>
      </c>
      <c r="N179" s="1">
        <v>2887272</v>
      </c>
      <c r="O179" s="14">
        <v>6537933</v>
      </c>
      <c r="P179" s="2"/>
      <c r="Q179" s="1">
        <v>4107363</v>
      </c>
      <c r="R179" s="1">
        <v>4740874</v>
      </c>
      <c r="S179" s="1">
        <v>2051930</v>
      </c>
      <c r="T179" s="1">
        <v>4790585</v>
      </c>
      <c r="U179" s="2"/>
      <c r="V179" s="9">
        <v>4502317</v>
      </c>
      <c r="W179" s="9">
        <v>4847181</v>
      </c>
      <c r="X179" s="9">
        <v>1861501</v>
      </c>
      <c r="Y179" s="9">
        <v>4734021</v>
      </c>
      <c r="Z179" s="7"/>
    </row>
    <row r="180" spans="1:26">
      <c r="A180" s="6" t="s">
        <v>10</v>
      </c>
      <c r="B180" s="3">
        <f>AVERAGE(B150:B179)</f>
        <v>21374004.666666668</v>
      </c>
      <c r="C180" s="3">
        <f>AVERAGE(C150:C179)</f>
        <v>5042656.2666666666</v>
      </c>
      <c r="D180" s="3">
        <f>AVERAGE(D150:D179)</f>
        <v>8612529.666666666</v>
      </c>
      <c r="E180" s="3">
        <f>AVERAGE(E150:E179)</f>
        <v>18041016.433333334</v>
      </c>
      <c r="F180" s="2"/>
      <c r="G180" s="3">
        <f>AVERAGE(G150:G179)</f>
        <v>10246799</v>
      </c>
      <c r="H180" s="3">
        <f>AVERAGE(H150:H179)</f>
        <v>4607654.7</v>
      </c>
      <c r="I180" s="3">
        <f>AVERAGE(I150:I179)</f>
        <v>4943792.333333333</v>
      </c>
      <c r="J180" s="3">
        <f>AVERAGE(J150:J179)</f>
        <v>9663883.4333333336</v>
      </c>
      <c r="K180" s="2"/>
      <c r="L180" s="3">
        <f>AVERAGE(L150:L179)</f>
        <v>5265513.9000000004</v>
      </c>
      <c r="M180" s="3">
        <f>AVERAGE(M150:M179)</f>
        <v>4610709.5333333332</v>
      </c>
      <c r="N180" s="3">
        <f>AVERAGE(N150:N179)</f>
        <v>2903714.2</v>
      </c>
      <c r="O180" s="3">
        <f>AVERAGE(O150:O179)</f>
        <v>6308605.166666667</v>
      </c>
      <c r="P180" s="2"/>
      <c r="Q180" s="3">
        <f>AVERAGE(Q150:Q179)</f>
        <v>4128583.6333333333</v>
      </c>
      <c r="R180" s="3">
        <f>AVERAGE(R150:R179)</f>
        <v>4762460.5999999996</v>
      </c>
      <c r="S180" s="3">
        <f>AVERAGE(S150:S179)</f>
        <v>2026874.8</v>
      </c>
      <c r="T180" s="3">
        <f>AVERAGE(T150:T179)</f>
        <v>4580479.166666667</v>
      </c>
      <c r="U180" s="2"/>
      <c r="V180" s="11">
        <f>AVERAGE(V150:V179)</f>
        <v>4422448.0666666664</v>
      </c>
      <c r="W180" s="11">
        <f>AVERAGE(W150:W179)</f>
        <v>4807465</v>
      </c>
      <c r="X180" s="11">
        <f>AVERAGE(X150:X179)</f>
        <v>1941274.8333333333</v>
      </c>
      <c r="Y180" s="11">
        <f>AVERAGE(Y150:Y179)</f>
        <v>4524992.333333333</v>
      </c>
      <c r="Z180" s="7"/>
    </row>
  </sheetData>
  <mergeCells count="50">
    <mergeCell ref="B4:E4"/>
    <mergeCell ref="G4:J4"/>
    <mergeCell ref="L4:O4"/>
    <mergeCell ref="Q4:T4"/>
    <mergeCell ref="V4:Y4"/>
    <mergeCell ref="B3:E3"/>
    <mergeCell ref="G3:J3"/>
    <mergeCell ref="L3:O3"/>
    <mergeCell ref="Q3:T3"/>
    <mergeCell ref="V3:Y3"/>
    <mergeCell ref="B40:E40"/>
    <mergeCell ref="G40:J40"/>
    <mergeCell ref="L40:O40"/>
    <mergeCell ref="Q40:T40"/>
    <mergeCell ref="V40:Y40"/>
    <mergeCell ref="B39:E39"/>
    <mergeCell ref="G39:J39"/>
    <mergeCell ref="L39:O39"/>
    <mergeCell ref="Q39:T39"/>
    <mergeCell ref="V39:Y39"/>
    <mergeCell ref="B76:E76"/>
    <mergeCell ref="G76:J76"/>
    <mergeCell ref="L76:O76"/>
    <mergeCell ref="Q76:T76"/>
    <mergeCell ref="V76:Y76"/>
    <mergeCell ref="B75:E75"/>
    <mergeCell ref="G75:J75"/>
    <mergeCell ref="L75:O75"/>
    <mergeCell ref="Q75:T75"/>
    <mergeCell ref="V75:Y75"/>
    <mergeCell ref="B112:E112"/>
    <mergeCell ref="G112:J112"/>
    <mergeCell ref="L112:O112"/>
    <mergeCell ref="Q112:T112"/>
    <mergeCell ref="V112:Y112"/>
    <mergeCell ref="B111:E111"/>
    <mergeCell ref="G111:J111"/>
    <mergeCell ref="L111:O111"/>
    <mergeCell ref="Q111:T111"/>
    <mergeCell ref="V111:Y111"/>
    <mergeCell ref="B148:E148"/>
    <mergeCell ref="G148:J148"/>
    <mergeCell ref="L148:O148"/>
    <mergeCell ref="Q148:T148"/>
    <mergeCell ref="V148:Y148"/>
    <mergeCell ref="B147:E147"/>
    <mergeCell ref="G147:J147"/>
    <mergeCell ref="L147:O147"/>
    <mergeCell ref="Q147:T147"/>
    <mergeCell ref="V147:Y14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E1D9-A8AC-4FE9-A6BE-923AA02D8E5B}">
  <dimension ref="B2:T30"/>
  <sheetViews>
    <sheetView topLeftCell="B23" zoomScale="76" zoomScaleNormal="100" workbookViewId="0">
      <selection activeCell="O58" sqref="O58"/>
    </sheetView>
  </sheetViews>
  <sheetFormatPr defaultColWidth="10.85546875" defaultRowHeight="15"/>
  <cols>
    <col min="1" max="1" width="14.42578125" style="4" customWidth="1"/>
    <col min="2" max="2" width="13.140625" style="4" customWidth="1"/>
    <col min="3" max="3" width="35.140625" style="4" customWidth="1"/>
    <col min="4" max="4" width="32.140625" style="4" customWidth="1"/>
    <col min="5" max="5" width="24.5703125" style="4" customWidth="1"/>
    <col min="6" max="6" width="20.85546875" style="4" customWidth="1"/>
    <col min="7" max="7" width="19.85546875" style="4" customWidth="1"/>
    <col min="8" max="8" width="2.7109375" style="4" customWidth="1"/>
    <col min="9" max="9" width="13.7109375" style="4" customWidth="1"/>
    <col min="10" max="10" width="31.42578125" style="4" customWidth="1"/>
    <col min="11" max="11" width="24.42578125" style="4" customWidth="1"/>
    <col min="12" max="12" width="16.85546875" style="4" customWidth="1"/>
    <col min="13" max="13" width="24.42578125" style="4" customWidth="1"/>
    <col min="14" max="14" width="23.5703125" style="4" customWidth="1"/>
    <col min="15" max="15" width="10.85546875" style="4"/>
    <col min="16" max="16" width="21" style="4" customWidth="1"/>
    <col min="17" max="17" width="29.28515625" style="4" customWidth="1"/>
    <col min="18" max="18" width="31.42578125" style="4" customWidth="1"/>
    <col min="19" max="19" width="27.28515625" style="4" customWidth="1"/>
    <col min="20" max="20" width="22.85546875" style="4" customWidth="1"/>
    <col min="21" max="16384" width="10.85546875" style="4"/>
  </cols>
  <sheetData>
    <row r="2" spans="2:20" ht="15" customHeight="1" thickBot="1">
      <c r="B2" s="25"/>
    </row>
    <row r="3" spans="2:20" ht="39" customHeight="1" thickBot="1">
      <c r="B3" s="69" t="s">
        <v>31</v>
      </c>
      <c r="C3" s="70"/>
      <c r="D3" s="70"/>
      <c r="E3" s="70"/>
      <c r="F3" s="71"/>
      <c r="G3" s="53"/>
      <c r="I3" s="69" t="s">
        <v>32</v>
      </c>
      <c r="J3" s="70"/>
      <c r="K3" s="70"/>
      <c r="L3" s="70"/>
      <c r="M3" s="71"/>
      <c r="N3" s="51"/>
      <c r="P3" s="69" t="s">
        <v>33</v>
      </c>
      <c r="Q3" s="70"/>
      <c r="R3" s="70"/>
      <c r="S3" s="70"/>
      <c r="T3" s="71"/>
    </row>
    <row r="4" spans="2:20" ht="21.95" customHeight="1" thickBot="1">
      <c r="B4" s="31"/>
      <c r="C4" s="72" t="s">
        <v>34</v>
      </c>
      <c r="D4" s="73"/>
      <c r="E4" s="73"/>
      <c r="F4" s="74"/>
      <c r="G4" s="7"/>
      <c r="I4" s="31"/>
      <c r="J4" s="72" t="s">
        <v>34</v>
      </c>
      <c r="K4" s="73"/>
      <c r="L4" s="73"/>
      <c r="M4" s="74"/>
      <c r="N4" s="41"/>
      <c r="P4" s="31"/>
      <c r="Q4" s="72" t="s">
        <v>34</v>
      </c>
      <c r="R4" s="73"/>
      <c r="S4" s="73"/>
      <c r="T4" s="74"/>
    </row>
    <row r="5" spans="2:20" ht="90.75" thickBot="1">
      <c r="B5" s="29" t="s">
        <v>35</v>
      </c>
      <c r="C5" s="28" t="s">
        <v>6</v>
      </c>
      <c r="D5" s="44" t="s">
        <v>7</v>
      </c>
      <c r="E5" s="43" t="s">
        <v>8</v>
      </c>
      <c r="F5" s="54" t="s">
        <v>9</v>
      </c>
      <c r="G5" s="7"/>
      <c r="I5" s="29" t="s">
        <v>35</v>
      </c>
      <c r="J5" s="28" t="s">
        <v>6</v>
      </c>
      <c r="K5" s="44" t="s">
        <v>7</v>
      </c>
      <c r="L5" s="43" t="s">
        <v>8</v>
      </c>
      <c r="M5" s="54" t="s">
        <v>9</v>
      </c>
      <c r="N5" s="7"/>
      <c r="P5" s="29" t="s">
        <v>35</v>
      </c>
      <c r="Q5" s="28" t="s">
        <v>6</v>
      </c>
      <c r="R5" s="44" t="s">
        <v>7</v>
      </c>
      <c r="S5" s="43" t="s">
        <v>8</v>
      </c>
      <c r="T5" s="54" t="s">
        <v>9</v>
      </c>
    </row>
    <row r="6" spans="2:20" ht="15.75" thickBot="1">
      <c r="B6" s="35">
        <v>1</v>
      </c>
      <c r="C6" s="38">
        <f>Posix!B36</f>
        <v>1137.0333333333333</v>
      </c>
      <c r="D6" s="19">
        <f>Posix!C36</f>
        <v>1811.3333333333333</v>
      </c>
      <c r="E6" s="37">
        <f>Posix!D36</f>
        <v>437.8</v>
      </c>
      <c r="F6" s="37">
        <f>Posix!E36</f>
        <v>1941.6</v>
      </c>
      <c r="G6" s="7"/>
      <c r="I6" s="35">
        <v>1</v>
      </c>
      <c r="J6" s="38">
        <f>Posix!B72</f>
        <v>7029.1333333333332</v>
      </c>
      <c r="K6" s="38">
        <f>Posix!C72</f>
        <v>1709.8333333333333</v>
      </c>
      <c r="L6" s="38">
        <f>Posix!D72</f>
        <v>1907</v>
      </c>
      <c r="M6" s="38">
        <f>Posix!E72</f>
        <v>4089.3</v>
      </c>
      <c r="N6" s="7"/>
      <c r="P6" s="35">
        <v>1</v>
      </c>
      <c r="Q6" s="38">
        <f>Posix!B108</f>
        <v>492496.13333333336</v>
      </c>
      <c r="R6" s="19">
        <f>Posix!C108</f>
        <v>114393.7</v>
      </c>
      <c r="S6" s="37">
        <f>Posix!D108</f>
        <v>231003</v>
      </c>
      <c r="T6" s="37">
        <f>Posix!E108</f>
        <v>395578.33333333331</v>
      </c>
    </row>
    <row r="7" spans="2:20" ht="15.75" thickBot="1">
      <c r="B7" s="36">
        <v>2</v>
      </c>
      <c r="C7" s="39">
        <f>Posix!G36</f>
        <v>607.20000000000005</v>
      </c>
      <c r="D7" s="30">
        <f>Posix!H36</f>
        <v>1046.7</v>
      </c>
      <c r="E7" s="32">
        <f>Posix!I36</f>
        <v>168</v>
      </c>
      <c r="F7" s="32">
        <f>Posix!J36</f>
        <v>1133.0999999999999</v>
      </c>
      <c r="G7" s="7"/>
      <c r="I7" s="36">
        <v>2</v>
      </c>
      <c r="J7" s="38">
        <f>Posix!G72</f>
        <v>4027.3</v>
      </c>
      <c r="K7" s="38">
        <f>Posix!H72</f>
        <v>1229.3666666666666</v>
      </c>
      <c r="L7" s="38">
        <f>Posix!I72</f>
        <v>1078</v>
      </c>
      <c r="M7" s="38">
        <f>Posix!J72</f>
        <v>2588.7666666666669</v>
      </c>
      <c r="N7" s="7"/>
      <c r="P7" s="36">
        <v>2</v>
      </c>
      <c r="Q7" s="38">
        <f>Posix!G108</f>
        <v>253957.7</v>
      </c>
      <c r="R7" s="30">
        <f>Posix!H108</f>
        <v>109309</v>
      </c>
      <c r="S7" s="32">
        <f>Posix!I108</f>
        <v>122967.5</v>
      </c>
      <c r="T7" s="32">
        <f>Posix!J108</f>
        <v>161960.46666666667</v>
      </c>
    </row>
    <row r="8" spans="2:20" ht="15.75" thickBot="1">
      <c r="B8" s="35">
        <v>4</v>
      </c>
      <c r="C8" s="39">
        <f>Posix!L36</f>
        <v>588.63333333333333</v>
      </c>
      <c r="D8" s="30">
        <f>Posix!M36</f>
        <v>1447.4</v>
      </c>
      <c r="E8" s="32">
        <f>Posix!N36</f>
        <v>229</v>
      </c>
      <c r="F8" s="32">
        <f>Posix!O36</f>
        <v>1217.6666666666667</v>
      </c>
      <c r="G8" s="7"/>
      <c r="I8" s="35">
        <v>4</v>
      </c>
      <c r="J8" s="38">
        <f>Posix!L72</f>
        <v>1761.3</v>
      </c>
      <c r="K8" s="38">
        <f>Posix!M72</f>
        <v>1223.2666666666667</v>
      </c>
      <c r="L8" s="38">
        <f>Posix!N72</f>
        <v>674</v>
      </c>
      <c r="M8" s="38">
        <f>Posix!O72</f>
        <v>2207.2333333333331</v>
      </c>
      <c r="N8" s="7"/>
      <c r="P8" s="35">
        <v>4</v>
      </c>
      <c r="Q8" s="38">
        <f>Posix!L108</f>
        <v>129507.53333333334</v>
      </c>
      <c r="R8" s="30">
        <f>Posix!M108</f>
        <v>114348.33333333333</v>
      </c>
      <c r="S8" s="32">
        <f>Posix!N108</f>
        <v>77034.100000000006</v>
      </c>
      <c r="T8" s="32">
        <f>Posix!O108</f>
        <v>139152.86666666667</v>
      </c>
    </row>
    <row r="9" spans="2:20" ht="15.75" thickBot="1">
      <c r="B9" s="35">
        <v>8</v>
      </c>
      <c r="C9" s="39">
        <f>Posix!Q36</f>
        <v>644.79999999999995</v>
      </c>
      <c r="D9" s="30">
        <f>Posix!R36</f>
        <v>1261.6333333333334</v>
      </c>
      <c r="E9" s="32">
        <f>Posix!S36</f>
        <v>448</v>
      </c>
      <c r="F9" s="32">
        <f>Posix!T36</f>
        <v>1862.3</v>
      </c>
      <c r="G9" s="7"/>
      <c r="I9" s="35">
        <v>8</v>
      </c>
      <c r="J9" s="38">
        <f>Posix!Q72</f>
        <v>1444.2666666666667</v>
      </c>
      <c r="K9" s="38">
        <f>Posix!R72</f>
        <v>1577.0666666666666</v>
      </c>
      <c r="L9" s="38">
        <f>Posix!S72</f>
        <v>707</v>
      </c>
      <c r="M9" s="38">
        <f>Posix!T72</f>
        <v>1884.4666666666667</v>
      </c>
      <c r="N9" s="7"/>
      <c r="P9" s="35">
        <v>8</v>
      </c>
      <c r="Q9" s="38">
        <f>Posix!Q108</f>
        <v>125072.56666666667</v>
      </c>
      <c r="R9" s="30">
        <f>Posix!R108</f>
        <v>120554.93333333333</v>
      </c>
      <c r="S9" s="32">
        <f>Posix!S108</f>
        <v>47523.23333333333</v>
      </c>
      <c r="T9" s="32">
        <f>Posix!T108</f>
        <v>91218.1</v>
      </c>
    </row>
    <row r="10" spans="2:20" ht="15.75" thickBot="1">
      <c r="B10" s="34">
        <v>10</v>
      </c>
      <c r="C10" s="39">
        <f>Posix!V36</f>
        <v>671.4666666666667</v>
      </c>
      <c r="D10" s="39">
        <f>Posix!W36</f>
        <v>1182.2666666666667</v>
      </c>
      <c r="E10" s="30">
        <f>Posix!X36</f>
        <v>430</v>
      </c>
      <c r="F10" s="32">
        <f>Posix!Y36</f>
        <v>1986.6666666666667</v>
      </c>
      <c r="G10" s="7"/>
      <c r="H10" s="7"/>
      <c r="I10" s="34">
        <v>10</v>
      </c>
      <c r="J10" s="38">
        <f>Posix!V72</f>
        <v>1690.7333333333333</v>
      </c>
      <c r="K10" s="38">
        <f>Posix!W72</f>
        <v>1974.8</v>
      </c>
      <c r="L10" s="38">
        <f>Posix!X72</f>
        <v>813.66666666666663</v>
      </c>
      <c r="M10" s="38">
        <f>Posix!Y72</f>
        <v>2203.3000000000002</v>
      </c>
      <c r="N10" s="7"/>
      <c r="P10" s="34">
        <v>10</v>
      </c>
      <c r="Q10" s="38">
        <f>Posix!V108</f>
        <v>127562.76666666666</v>
      </c>
      <c r="R10" s="38">
        <f>Posix!W108</f>
        <v>131966.13333333333</v>
      </c>
      <c r="S10" s="38">
        <f>Posix!X108</f>
        <v>39510.6</v>
      </c>
      <c r="T10" s="38">
        <f>Posix!Y108</f>
        <v>78180.566666666666</v>
      </c>
    </row>
    <row r="11" spans="2:20">
      <c r="B11" s="49"/>
      <c r="C11" s="7"/>
      <c r="D11" s="7"/>
      <c r="E11" s="7"/>
      <c r="F11" s="7"/>
      <c r="G11" s="7"/>
      <c r="H11" s="7"/>
      <c r="I11" s="49"/>
      <c r="J11" s="7"/>
      <c r="K11" s="7"/>
      <c r="L11" s="7"/>
      <c r="M11" s="7"/>
      <c r="N11" s="7"/>
    </row>
    <row r="12" spans="2:20" ht="15.95" customHeight="1"/>
    <row r="13" spans="2:20" ht="36.75" customHeight="1" thickBot="1">
      <c r="B13" s="75" t="s">
        <v>36</v>
      </c>
      <c r="C13" s="76"/>
      <c r="D13" s="76"/>
      <c r="E13" s="76"/>
      <c r="F13" s="77"/>
      <c r="G13" s="53"/>
      <c r="H13" s="7"/>
      <c r="I13" s="75" t="s">
        <v>37</v>
      </c>
      <c r="J13" s="76"/>
      <c r="K13" s="76"/>
      <c r="L13" s="76"/>
      <c r="M13" s="77"/>
      <c r="N13" s="53"/>
    </row>
    <row r="14" spans="2:20" ht="15.75" thickBot="1">
      <c r="B14" s="31"/>
      <c r="C14" s="72" t="s">
        <v>34</v>
      </c>
      <c r="D14" s="73"/>
      <c r="E14" s="73"/>
      <c r="F14" s="74"/>
      <c r="G14" s="7"/>
      <c r="H14" s="7"/>
      <c r="I14" s="31"/>
      <c r="J14" s="72" t="s">
        <v>34</v>
      </c>
      <c r="K14" s="73"/>
      <c r="L14" s="73"/>
      <c r="M14" s="74"/>
      <c r="N14" s="7"/>
    </row>
    <row r="15" spans="2:20" ht="60.75" thickBot="1">
      <c r="B15" s="29" t="s">
        <v>35</v>
      </c>
      <c r="C15" s="28" t="s">
        <v>6</v>
      </c>
      <c r="D15" s="44" t="s">
        <v>7</v>
      </c>
      <c r="E15" s="43" t="s">
        <v>8</v>
      </c>
      <c r="F15" s="54" t="s">
        <v>9</v>
      </c>
      <c r="G15" s="7"/>
      <c r="I15" s="29" t="s">
        <v>35</v>
      </c>
      <c r="J15" s="28" t="s">
        <v>6</v>
      </c>
      <c r="K15" s="44" t="s">
        <v>7</v>
      </c>
      <c r="L15" s="43" t="s">
        <v>8</v>
      </c>
      <c r="M15" s="54" t="s">
        <v>9</v>
      </c>
      <c r="N15" s="7"/>
    </row>
    <row r="16" spans="2:20" ht="15.75" thickBot="1">
      <c r="B16" s="35">
        <v>1</v>
      </c>
      <c r="C16" s="39">
        <f>Posix!B144</f>
        <v>4966478.5999999996</v>
      </c>
      <c r="D16" s="39">
        <f>Posix!C144</f>
        <v>933697.56666666665</v>
      </c>
      <c r="E16" s="39">
        <f>Posix!D144</f>
        <v>1991854.4666666666</v>
      </c>
      <c r="F16" s="39">
        <f>Posix!E144</f>
        <v>3856719.0333333332</v>
      </c>
      <c r="G16" s="7"/>
      <c r="I16" s="35">
        <v>1</v>
      </c>
      <c r="J16" s="38">
        <f>Posix!B180</f>
        <v>21374004.666666668</v>
      </c>
      <c r="K16" s="19">
        <f>Posix!C180</f>
        <v>5042656.2666666666</v>
      </c>
      <c r="L16" s="37">
        <f>Posix!D180</f>
        <v>8612529.666666666</v>
      </c>
      <c r="M16" s="37">
        <f>Posix!E180</f>
        <v>18041016.433333334</v>
      </c>
      <c r="N16" s="7"/>
    </row>
    <row r="17" spans="2:14" ht="15.75" thickBot="1">
      <c r="B17" s="36">
        <v>2</v>
      </c>
      <c r="C17" s="39">
        <f>Posix!G144</f>
        <v>2422897.3333333335</v>
      </c>
      <c r="D17" s="39">
        <f>Posix!H144</f>
        <v>920751.43333333335</v>
      </c>
      <c r="E17" s="32">
        <f>Posix!I144</f>
        <v>1084408.6000000001</v>
      </c>
      <c r="F17" s="39">
        <f>Posix!J144</f>
        <v>2147555.2333333334</v>
      </c>
      <c r="G17" s="7"/>
      <c r="I17" s="36">
        <v>2</v>
      </c>
      <c r="J17" s="39">
        <f>Posix!G180</f>
        <v>10246799</v>
      </c>
      <c r="K17" s="30">
        <f>Posix!H180</f>
        <v>4607654.7</v>
      </c>
      <c r="L17" s="32">
        <f>Posix!I180</f>
        <v>4943792.333333333</v>
      </c>
      <c r="M17" s="32">
        <f>Posix!J180</f>
        <v>9663883.4333333336</v>
      </c>
      <c r="N17" s="7"/>
    </row>
    <row r="18" spans="2:14">
      <c r="B18" s="35">
        <v>4</v>
      </c>
      <c r="C18" s="39">
        <f>Posix!L144</f>
        <v>1100681.2333333334</v>
      </c>
      <c r="D18" s="39">
        <f>Posix!M144</f>
        <v>995521.73333333328</v>
      </c>
      <c r="E18" s="32">
        <f>Posix!N144</f>
        <v>679094.43333333335</v>
      </c>
      <c r="F18" s="32">
        <f>Posix!O144</f>
        <v>1378772.2333333334</v>
      </c>
      <c r="G18" s="7"/>
      <c r="I18" s="35">
        <v>4</v>
      </c>
      <c r="J18" s="39">
        <f>Posix!L180</f>
        <v>5265513.9000000004</v>
      </c>
      <c r="K18" s="30">
        <f>Posix!M180</f>
        <v>4610709.5333333332</v>
      </c>
      <c r="L18" s="32">
        <f>Posix!N180</f>
        <v>2903714.2</v>
      </c>
      <c r="M18" s="32">
        <f>Posix!O180</f>
        <v>6308605.166666667</v>
      </c>
      <c r="N18" s="7"/>
    </row>
    <row r="19" spans="2:14" ht="15.75" thickBot="1">
      <c r="B19" s="35">
        <v>8</v>
      </c>
      <c r="C19" s="39">
        <f>Posix!Q144</f>
        <v>1066073.6000000001</v>
      </c>
      <c r="D19" s="39">
        <f>Posix!W144</f>
        <v>1067881.5666666667</v>
      </c>
      <c r="E19" s="32">
        <f>Posix!S144</f>
        <v>446858.96666666667</v>
      </c>
      <c r="F19" s="32">
        <f>Posix!T144</f>
        <v>934070.4</v>
      </c>
      <c r="G19" s="7"/>
      <c r="I19" s="35">
        <v>8</v>
      </c>
      <c r="J19" s="39">
        <f>Posix!Q180</f>
        <v>4128583.6333333333</v>
      </c>
      <c r="K19" s="39">
        <f>Posix!R180</f>
        <v>4762460.5999999996</v>
      </c>
      <c r="L19" s="32">
        <f>Posix!S180</f>
        <v>2026874.8</v>
      </c>
      <c r="M19" s="32">
        <f>Posix!T180</f>
        <v>4580479.166666667</v>
      </c>
      <c r="N19" s="7"/>
    </row>
    <row r="20" spans="2:14">
      <c r="B20" s="36">
        <v>10</v>
      </c>
      <c r="C20" s="46">
        <f>Posix!V144</f>
        <v>1067517.3</v>
      </c>
      <c r="D20" s="46">
        <f>Posix!W144</f>
        <v>1067881.5666666667</v>
      </c>
      <c r="E20" s="46">
        <f>Posix!X144</f>
        <v>401744.86666666664</v>
      </c>
      <c r="F20" s="48">
        <f>Posix!Y144</f>
        <v>843160.3</v>
      </c>
      <c r="G20" s="7"/>
      <c r="I20" s="36">
        <v>10</v>
      </c>
      <c r="J20" s="46">
        <f>Posix!V180</f>
        <v>4422448.0666666664</v>
      </c>
      <c r="K20" s="46">
        <f>Posix!W180</f>
        <v>4807465</v>
      </c>
      <c r="L20" s="46">
        <f>Posix!X180</f>
        <v>1941274.8333333333</v>
      </c>
      <c r="M20" s="48">
        <f>Posix!Y180</f>
        <v>4524992.333333333</v>
      </c>
      <c r="N20" s="7"/>
    </row>
    <row r="21" spans="2:14" ht="16.5" customHeight="1">
      <c r="B21" s="49"/>
      <c r="C21" s="7"/>
      <c r="D21" s="7"/>
      <c r="E21" s="7"/>
      <c r="F21" s="7"/>
      <c r="G21" s="7"/>
      <c r="I21" s="49"/>
      <c r="J21" s="7"/>
      <c r="K21" s="7"/>
      <c r="L21" s="7"/>
      <c r="M21" s="7"/>
      <c r="N21" s="7"/>
    </row>
    <row r="30" spans="2:14" ht="44.1" customHeight="1"/>
  </sheetData>
  <mergeCells count="10">
    <mergeCell ref="C14:F14"/>
    <mergeCell ref="J14:M14"/>
    <mergeCell ref="P3:T3"/>
    <mergeCell ref="C4:F4"/>
    <mergeCell ref="J4:M4"/>
    <mergeCell ref="Q4:T4"/>
    <mergeCell ref="B13:F13"/>
    <mergeCell ref="I13:M13"/>
    <mergeCell ref="B3:F3"/>
    <mergeCell ref="I3:M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3455-A04B-47B6-8DB9-8169C533C82A}">
  <dimension ref="A2:AE180"/>
  <sheetViews>
    <sheetView topLeftCell="E1" zoomScale="90" zoomScaleNormal="90" workbookViewId="0">
      <selection activeCell="M36" sqref="M36"/>
    </sheetView>
  </sheetViews>
  <sheetFormatPr defaultColWidth="11.42578125" defaultRowHeight="15"/>
  <cols>
    <col min="1" max="1" width="11.42578125" style="4"/>
    <col min="2" max="2" width="25.7109375" style="4" bestFit="1" customWidth="1"/>
    <col min="3" max="3" width="27.7109375" style="4" customWidth="1"/>
    <col min="4" max="4" width="29" style="4" customWidth="1"/>
    <col min="5" max="5" width="23.85546875" style="4" customWidth="1"/>
    <col min="6" max="6" width="9.140625" style="4" bestFit="1" customWidth="1"/>
    <col min="7" max="7" width="25.7109375" style="4" bestFit="1" customWidth="1"/>
    <col min="8" max="8" width="23.28515625" style="4" customWidth="1"/>
    <col min="9" max="9" width="30.140625" style="4" customWidth="1"/>
    <col min="10" max="10" width="20.140625" style="4" customWidth="1"/>
    <col min="11" max="11" width="9.140625" style="4" bestFit="1" customWidth="1"/>
    <col min="12" max="12" width="32.28515625" style="4" customWidth="1"/>
    <col min="13" max="13" width="27.140625" style="4" customWidth="1"/>
    <col min="14" max="14" width="27.5703125" style="4" customWidth="1"/>
    <col min="15" max="15" width="22.85546875" style="4" customWidth="1"/>
    <col min="16" max="16" width="15.5703125" style="4" bestFit="1" customWidth="1"/>
    <col min="17" max="17" width="34.28515625" style="4" customWidth="1"/>
    <col min="18" max="18" width="25.7109375" style="4" customWidth="1"/>
    <col min="19" max="19" width="25.42578125" style="4" customWidth="1"/>
    <col min="20" max="20" width="23.85546875" style="4" customWidth="1"/>
    <col min="21" max="21" width="13.140625" style="4" customWidth="1"/>
    <col min="22" max="22" width="36.7109375" style="4" customWidth="1"/>
    <col min="23" max="23" width="26.7109375" style="4" customWidth="1"/>
    <col min="24" max="24" width="25.42578125" style="4" customWidth="1"/>
    <col min="25" max="25" width="23.28515625" style="4" customWidth="1"/>
    <col min="26" max="26" width="12.140625" style="4" customWidth="1"/>
    <col min="27" max="16375" width="9.140625" style="4" bestFit="1" customWidth="1"/>
    <col min="16376" max="16376" width="11.42578125" style="4" bestFit="1"/>
    <col min="16377" max="16384" width="9.140625" style="4" bestFit="1" customWidth="1"/>
  </cols>
  <sheetData>
    <row r="2" spans="2:31" ht="15.75" thickBot="1"/>
    <row r="3" spans="2:31" s="7" customFormat="1" ht="16.5" customHeight="1" thickBot="1">
      <c r="B3" s="66" t="s">
        <v>41</v>
      </c>
      <c r="C3" s="67"/>
      <c r="D3" s="67"/>
      <c r="E3" s="68"/>
      <c r="G3" s="66" t="s">
        <v>41</v>
      </c>
      <c r="H3" s="67"/>
      <c r="I3" s="67"/>
      <c r="J3" s="68"/>
      <c r="L3" s="66" t="s">
        <v>41</v>
      </c>
      <c r="M3" s="67"/>
      <c r="N3" s="67"/>
      <c r="O3" s="68"/>
      <c r="Q3" s="66" t="s">
        <v>41</v>
      </c>
      <c r="R3" s="67"/>
      <c r="S3" s="67"/>
      <c r="T3" s="68"/>
      <c r="V3" s="66" t="s">
        <v>41</v>
      </c>
      <c r="W3" s="67"/>
      <c r="X3" s="67"/>
      <c r="Y3" s="68"/>
      <c r="AA3" s="20"/>
      <c r="AB3" s="20"/>
      <c r="AC3" s="20"/>
      <c r="AD3" s="20"/>
      <c r="AE3" s="20"/>
    </row>
    <row r="4" spans="2:31" s="7" customFormat="1" ht="13.5" customHeight="1" thickBot="1">
      <c r="B4" s="63" t="s">
        <v>1</v>
      </c>
      <c r="C4" s="64"/>
      <c r="D4" s="64"/>
      <c r="E4" s="65"/>
      <c r="G4" s="59" t="s">
        <v>2</v>
      </c>
      <c r="H4" s="59"/>
      <c r="I4" s="59"/>
      <c r="J4" s="59"/>
      <c r="L4" s="59" t="s">
        <v>3</v>
      </c>
      <c r="M4" s="59"/>
      <c r="N4" s="59"/>
      <c r="O4" s="59"/>
      <c r="Q4" s="59" t="s">
        <v>4</v>
      </c>
      <c r="R4" s="59"/>
      <c r="S4" s="59"/>
      <c r="T4" s="59"/>
      <c r="V4" s="59" t="s">
        <v>5</v>
      </c>
      <c r="W4" s="59"/>
      <c r="X4" s="59"/>
      <c r="Y4" s="59"/>
      <c r="AA4" s="21"/>
      <c r="AB4" s="21"/>
      <c r="AC4" s="21"/>
      <c r="AD4" s="21"/>
      <c r="AE4" s="21"/>
    </row>
    <row r="5" spans="2:31" s="7" customFormat="1" ht="45" customHeight="1" thickBot="1">
      <c r="B5" s="28" t="s">
        <v>6</v>
      </c>
      <c r="C5" s="44" t="s">
        <v>7</v>
      </c>
      <c r="D5" s="43" t="s">
        <v>8</v>
      </c>
      <c r="E5" s="43" t="s">
        <v>9</v>
      </c>
      <c r="G5" s="28" t="s">
        <v>6</v>
      </c>
      <c r="H5" s="44" t="s">
        <v>7</v>
      </c>
      <c r="I5" s="43" t="s">
        <v>8</v>
      </c>
      <c r="J5" s="43" t="s">
        <v>9</v>
      </c>
      <c r="L5" s="28" t="s">
        <v>6</v>
      </c>
      <c r="M5" s="44" t="s">
        <v>7</v>
      </c>
      <c r="N5" s="43" t="s">
        <v>8</v>
      </c>
      <c r="O5" s="43" t="s">
        <v>9</v>
      </c>
      <c r="Q5" s="28" t="s">
        <v>6</v>
      </c>
      <c r="R5" s="44" t="s">
        <v>7</v>
      </c>
      <c r="S5" s="43" t="s">
        <v>8</v>
      </c>
      <c r="T5" s="43" t="s">
        <v>9</v>
      </c>
      <c r="V5" s="28" t="s">
        <v>6</v>
      </c>
      <c r="W5" s="44" t="s">
        <v>7</v>
      </c>
      <c r="X5" s="43" t="s">
        <v>8</v>
      </c>
      <c r="Y5" s="43" t="s">
        <v>9</v>
      </c>
    </row>
    <row r="6" spans="2:31">
      <c r="B6" s="1">
        <v>690</v>
      </c>
      <c r="C6" s="1">
        <v>111</v>
      </c>
      <c r="D6" s="1">
        <v>241</v>
      </c>
      <c r="E6" s="1">
        <v>1190</v>
      </c>
      <c r="F6" s="2"/>
      <c r="G6" s="1">
        <v>696</v>
      </c>
      <c r="H6" s="1">
        <v>172</v>
      </c>
      <c r="I6" s="1">
        <v>317</v>
      </c>
      <c r="J6" s="1">
        <v>1471</v>
      </c>
      <c r="K6" s="2"/>
      <c r="L6" s="1">
        <v>1389</v>
      </c>
      <c r="M6" s="14">
        <v>11588</v>
      </c>
      <c r="N6" s="17">
        <v>747</v>
      </c>
      <c r="O6" s="18">
        <v>2068</v>
      </c>
      <c r="P6" s="2"/>
      <c r="Q6" s="1">
        <v>826</v>
      </c>
      <c r="R6" s="1">
        <v>444</v>
      </c>
      <c r="S6" s="1">
        <v>2687</v>
      </c>
      <c r="T6" s="1">
        <v>2852</v>
      </c>
      <c r="U6" s="2"/>
      <c r="V6" s="9">
        <v>985</v>
      </c>
      <c r="W6" s="9">
        <v>463</v>
      </c>
      <c r="X6" s="9">
        <v>3088</v>
      </c>
      <c r="Y6" s="9">
        <v>2956</v>
      </c>
      <c r="Z6" s="7"/>
    </row>
    <row r="7" spans="2:31">
      <c r="B7" s="1">
        <v>1165</v>
      </c>
      <c r="C7" s="1">
        <v>145</v>
      </c>
      <c r="D7" s="1">
        <v>266</v>
      </c>
      <c r="E7" s="1">
        <v>449</v>
      </c>
      <c r="F7" s="2"/>
      <c r="G7" s="1">
        <v>610</v>
      </c>
      <c r="H7" s="1">
        <v>8536</v>
      </c>
      <c r="I7" s="1">
        <v>370</v>
      </c>
      <c r="J7" s="1">
        <v>2133</v>
      </c>
      <c r="K7" s="2"/>
      <c r="L7" s="1">
        <v>1054</v>
      </c>
      <c r="M7" s="14">
        <v>5782</v>
      </c>
      <c r="N7" s="17">
        <v>2423</v>
      </c>
      <c r="O7" s="18">
        <v>3701</v>
      </c>
      <c r="P7" s="2"/>
      <c r="Q7" s="1">
        <v>795</v>
      </c>
      <c r="R7" s="1">
        <v>578</v>
      </c>
      <c r="S7" s="1">
        <v>1731</v>
      </c>
      <c r="T7" s="1">
        <v>2369</v>
      </c>
      <c r="U7" s="2"/>
      <c r="V7" s="9">
        <v>797</v>
      </c>
      <c r="W7" s="9">
        <v>594</v>
      </c>
      <c r="X7" s="9">
        <v>1280</v>
      </c>
      <c r="Y7" s="9">
        <v>2665</v>
      </c>
      <c r="Z7" s="7"/>
    </row>
    <row r="8" spans="2:31">
      <c r="B8" s="1">
        <v>1025</v>
      </c>
      <c r="C8" s="1">
        <v>153</v>
      </c>
      <c r="D8" s="1">
        <v>241</v>
      </c>
      <c r="E8" s="1">
        <v>435</v>
      </c>
      <c r="F8" s="2"/>
      <c r="G8" s="1">
        <v>609</v>
      </c>
      <c r="H8" s="1">
        <v>188</v>
      </c>
      <c r="I8" s="1">
        <v>3056</v>
      </c>
      <c r="J8" s="1">
        <v>1392</v>
      </c>
      <c r="K8" s="2"/>
      <c r="L8" s="1">
        <v>807</v>
      </c>
      <c r="M8" s="1">
        <v>83560</v>
      </c>
      <c r="N8" s="16">
        <v>2529</v>
      </c>
      <c r="O8" s="16">
        <v>2196</v>
      </c>
      <c r="P8" s="2"/>
      <c r="Q8" s="1">
        <v>839</v>
      </c>
      <c r="R8" s="1">
        <v>1187</v>
      </c>
      <c r="S8" s="1">
        <v>2301</v>
      </c>
      <c r="T8" s="1">
        <v>2806</v>
      </c>
      <c r="U8" s="2"/>
      <c r="V8" s="9">
        <v>816</v>
      </c>
      <c r="W8" s="9">
        <v>470</v>
      </c>
      <c r="X8" s="9">
        <v>1376</v>
      </c>
      <c r="Y8" s="9">
        <v>3484</v>
      </c>
      <c r="Z8" s="7"/>
    </row>
    <row r="9" spans="2:31">
      <c r="B9" s="1">
        <v>661</v>
      </c>
      <c r="C9" s="1">
        <v>157</v>
      </c>
      <c r="D9" s="1">
        <v>268</v>
      </c>
      <c r="E9" s="1">
        <v>641</v>
      </c>
      <c r="F9" s="2"/>
      <c r="G9" s="1">
        <v>1054</v>
      </c>
      <c r="H9" s="1">
        <v>11629</v>
      </c>
      <c r="I9" s="1">
        <v>369</v>
      </c>
      <c r="J9" s="1">
        <v>1457</v>
      </c>
      <c r="K9" s="2"/>
      <c r="L9" s="1">
        <v>6082</v>
      </c>
      <c r="M9" s="1">
        <v>5674</v>
      </c>
      <c r="N9" s="14">
        <v>698</v>
      </c>
      <c r="O9" s="14">
        <v>1840</v>
      </c>
      <c r="P9" s="2"/>
      <c r="Q9" s="1">
        <v>6710</v>
      </c>
      <c r="R9" s="1">
        <v>537</v>
      </c>
      <c r="S9" s="1">
        <v>1737</v>
      </c>
      <c r="T9" s="1">
        <v>2406</v>
      </c>
      <c r="U9" s="2"/>
      <c r="V9" s="9">
        <v>924</v>
      </c>
      <c r="W9" s="9">
        <v>657</v>
      </c>
      <c r="X9" s="9">
        <v>1028</v>
      </c>
      <c r="Y9" s="9">
        <v>6293</v>
      </c>
      <c r="Z9" s="7"/>
    </row>
    <row r="10" spans="2:31">
      <c r="B10" s="1">
        <v>509</v>
      </c>
      <c r="C10" s="1">
        <v>151</v>
      </c>
      <c r="D10" s="1">
        <v>266</v>
      </c>
      <c r="E10" s="1">
        <v>434</v>
      </c>
      <c r="F10" s="2"/>
      <c r="G10" s="1">
        <v>6118</v>
      </c>
      <c r="H10" s="1">
        <v>162</v>
      </c>
      <c r="I10" s="1">
        <v>382</v>
      </c>
      <c r="J10" s="1">
        <v>1168</v>
      </c>
      <c r="K10" s="2"/>
      <c r="L10" s="1">
        <v>5611</v>
      </c>
      <c r="M10" s="1">
        <v>9572</v>
      </c>
      <c r="N10" s="14">
        <v>670</v>
      </c>
      <c r="O10" s="14">
        <v>2939</v>
      </c>
      <c r="P10" s="2"/>
      <c r="Q10" s="1">
        <v>4150</v>
      </c>
      <c r="R10" s="1">
        <v>493</v>
      </c>
      <c r="S10" s="1">
        <v>1745</v>
      </c>
      <c r="T10" s="1">
        <v>2864</v>
      </c>
      <c r="U10" s="2"/>
      <c r="V10" s="9">
        <v>907</v>
      </c>
      <c r="W10" s="9">
        <v>483</v>
      </c>
      <c r="X10" s="9">
        <v>1454</v>
      </c>
      <c r="Y10" s="9">
        <v>3043</v>
      </c>
      <c r="Z10" s="7"/>
    </row>
    <row r="11" spans="2:31">
      <c r="B11" s="1">
        <v>510</v>
      </c>
      <c r="C11" s="1">
        <v>149</v>
      </c>
      <c r="D11" s="1">
        <v>264</v>
      </c>
      <c r="E11" s="1">
        <v>413</v>
      </c>
      <c r="F11" s="2"/>
      <c r="G11" s="1">
        <v>741</v>
      </c>
      <c r="H11" s="1">
        <v>8268</v>
      </c>
      <c r="I11" s="1">
        <v>3410</v>
      </c>
      <c r="J11" s="1">
        <v>1496</v>
      </c>
      <c r="K11" s="2"/>
      <c r="L11" s="1">
        <v>4668</v>
      </c>
      <c r="M11" s="1">
        <v>6450</v>
      </c>
      <c r="N11" s="14">
        <v>791</v>
      </c>
      <c r="O11" s="14">
        <v>3873</v>
      </c>
      <c r="P11" s="2"/>
      <c r="Q11" s="1">
        <v>7139</v>
      </c>
      <c r="R11" s="1">
        <v>25204</v>
      </c>
      <c r="S11" s="1">
        <v>1297</v>
      </c>
      <c r="T11" s="1">
        <v>5713</v>
      </c>
      <c r="U11" s="2"/>
      <c r="V11" s="9">
        <v>864</v>
      </c>
      <c r="W11" s="9">
        <v>631</v>
      </c>
      <c r="X11" s="9">
        <v>4064</v>
      </c>
      <c r="Y11" s="9">
        <v>3071</v>
      </c>
      <c r="Z11" s="7"/>
    </row>
    <row r="12" spans="2:31">
      <c r="B12" s="1">
        <v>525</v>
      </c>
      <c r="C12" s="1">
        <v>147</v>
      </c>
      <c r="D12" s="1">
        <v>298</v>
      </c>
      <c r="E12" s="1">
        <v>395</v>
      </c>
      <c r="F12" s="2"/>
      <c r="G12" s="1">
        <v>1577</v>
      </c>
      <c r="H12" s="1">
        <v>147</v>
      </c>
      <c r="I12" s="1">
        <v>338</v>
      </c>
      <c r="J12" s="1">
        <v>1180</v>
      </c>
      <c r="K12" s="2"/>
      <c r="L12" s="1">
        <v>7923</v>
      </c>
      <c r="M12" s="1">
        <v>205</v>
      </c>
      <c r="N12" s="14">
        <v>693</v>
      </c>
      <c r="O12" s="14">
        <v>2166</v>
      </c>
      <c r="P12" s="2"/>
      <c r="Q12" s="1">
        <v>792</v>
      </c>
      <c r="R12" s="1">
        <v>12328</v>
      </c>
      <c r="S12" s="1">
        <v>2459</v>
      </c>
      <c r="T12" s="1">
        <v>2822</v>
      </c>
      <c r="U12" s="2"/>
      <c r="V12" s="9">
        <v>5782</v>
      </c>
      <c r="W12" s="9">
        <v>463</v>
      </c>
      <c r="X12" s="9">
        <v>2754</v>
      </c>
      <c r="Y12" s="9">
        <v>6791</v>
      </c>
      <c r="Z12" s="7"/>
    </row>
    <row r="13" spans="2:31">
      <c r="B13" s="1">
        <v>509</v>
      </c>
      <c r="C13" s="1">
        <v>170</v>
      </c>
      <c r="D13" s="1">
        <v>263</v>
      </c>
      <c r="E13" s="1">
        <v>390</v>
      </c>
      <c r="F13" s="2"/>
      <c r="G13" s="1">
        <v>1698</v>
      </c>
      <c r="H13" s="1">
        <v>667</v>
      </c>
      <c r="I13" s="1">
        <v>2640</v>
      </c>
      <c r="J13" s="1">
        <v>1682</v>
      </c>
      <c r="K13" s="2"/>
      <c r="L13" s="1">
        <v>657</v>
      </c>
      <c r="M13" s="1">
        <v>435</v>
      </c>
      <c r="N13" s="14">
        <v>711</v>
      </c>
      <c r="O13" s="14">
        <v>2255</v>
      </c>
      <c r="P13" s="2"/>
      <c r="Q13" s="1">
        <v>722</v>
      </c>
      <c r="R13" s="1">
        <v>867</v>
      </c>
      <c r="S13" s="1">
        <v>983</v>
      </c>
      <c r="T13" s="1">
        <v>3318</v>
      </c>
      <c r="U13" s="2"/>
      <c r="V13" s="9">
        <v>821</v>
      </c>
      <c r="W13" s="9">
        <v>558</v>
      </c>
      <c r="X13" s="9">
        <v>3793</v>
      </c>
      <c r="Y13" s="9">
        <v>3200</v>
      </c>
      <c r="Z13" s="7"/>
    </row>
    <row r="14" spans="2:31">
      <c r="B14" s="1">
        <v>548</v>
      </c>
      <c r="C14" s="1">
        <v>86</v>
      </c>
      <c r="D14" s="1">
        <v>264</v>
      </c>
      <c r="E14" s="1">
        <v>418</v>
      </c>
      <c r="F14" s="2"/>
      <c r="G14" s="1">
        <v>1287</v>
      </c>
      <c r="H14" s="1">
        <v>149</v>
      </c>
      <c r="I14" s="1">
        <v>372</v>
      </c>
      <c r="J14" s="1">
        <v>1522</v>
      </c>
      <c r="K14" s="2"/>
      <c r="L14" s="1">
        <v>650</v>
      </c>
      <c r="M14" s="1">
        <v>539</v>
      </c>
      <c r="N14" s="14">
        <v>1129</v>
      </c>
      <c r="O14" s="14">
        <v>2135</v>
      </c>
      <c r="P14" s="2"/>
      <c r="Q14" s="1">
        <v>849</v>
      </c>
      <c r="R14" s="1">
        <v>3050</v>
      </c>
      <c r="S14" s="1">
        <v>1347</v>
      </c>
      <c r="T14" s="1">
        <v>2909</v>
      </c>
      <c r="U14" s="2"/>
      <c r="V14" s="9">
        <v>855</v>
      </c>
      <c r="W14" s="9">
        <v>706</v>
      </c>
      <c r="X14" s="9">
        <v>1021</v>
      </c>
      <c r="Y14" s="9">
        <v>6032</v>
      </c>
      <c r="Z14" s="7"/>
    </row>
    <row r="15" spans="2:31">
      <c r="B15" s="1">
        <v>533</v>
      </c>
      <c r="C15" s="1">
        <v>80</v>
      </c>
      <c r="D15" s="1">
        <v>263</v>
      </c>
      <c r="E15" s="1">
        <v>386</v>
      </c>
      <c r="F15" s="2"/>
      <c r="G15" s="1">
        <v>1669</v>
      </c>
      <c r="H15" s="1">
        <v>157</v>
      </c>
      <c r="I15" s="1">
        <v>3145</v>
      </c>
      <c r="J15" s="1">
        <v>1441</v>
      </c>
      <c r="K15" s="2"/>
      <c r="L15" s="1">
        <v>631</v>
      </c>
      <c r="M15" s="1">
        <v>4021</v>
      </c>
      <c r="N15" s="14">
        <v>1071</v>
      </c>
      <c r="O15" s="14">
        <v>2159</v>
      </c>
      <c r="P15" s="2"/>
      <c r="Q15" s="1">
        <v>788</v>
      </c>
      <c r="R15" s="1">
        <v>3189</v>
      </c>
      <c r="S15" s="1">
        <v>1305</v>
      </c>
      <c r="T15" s="1">
        <v>3253</v>
      </c>
      <c r="U15" s="2"/>
      <c r="V15" s="9">
        <v>907</v>
      </c>
      <c r="W15" s="9">
        <v>620</v>
      </c>
      <c r="X15" s="9">
        <v>1474</v>
      </c>
      <c r="Y15" s="9">
        <v>3083</v>
      </c>
      <c r="Z15" s="7"/>
    </row>
    <row r="16" spans="2:31">
      <c r="B16" s="1">
        <v>538</v>
      </c>
      <c r="C16" s="1">
        <v>149</v>
      </c>
      <c r="D16" s="1">
        <v>265</v>
      </c>
      <c r="E16" s="1">
        <v>408</v>
      </c>
      <c r="F16" s="2"/>
      <c r="G16" s="1">
        <v>1170</v>
      </c>
      <c r="H16" s="1">
        <v>1445</v>
      </c>
      <c r="I16" s="1">
        <v>407</v>
      </c>
      <c r="J16" s="1">
        <v>1137</v>
      </c>
      <c r="K16" s="2"/>
      <c r="L16" s="1">
        <v>790</v>
      </c>
      <c r="M16" s="1">
        <v>189</v>
      </c>
      <c r="N16" s="14">
        <v>1179</v>
      </c>
      <c r="O16" s="14">
        <v>3536</v>
      </c>
      <c r="P16" s="2"/>
      <c r="Q16" s="1">
        <v>1063</v>
      </c>
      <c r="R16" s="1">
        <v>493</v>
      </c>
      <c r="S16" s="1">
        <v>1462</v>
      </c>
      <c r="T16" s="1">
        <v>2588</v>
      </c>
      <c r="U16" s="2"/>
      <c r="V16" s="9">
        <v>850</v>
      </c>
      <c r="W16" s="9">
        <v>562</v>
      </c>
      <c r="X16" s="9">
        <v>1037</v>
      </c>
      <c r="Y16" s="9">
        <v>3118</v>
      </c>
      <c r="Z16" s="7"/>
    </row>
    <row r="17" spans="2:26">
      <c r="B17" s="1">
        <v>539</v>
      </c>
      <c r="C17" s="1">
        <v>153</v>
      </c>
      <c r="D17" s="1">
        <v>264</v>
      </c>
      <c r="E17" s="1">
        <v>522</v>
      </c>
      <c r="F17" s="2"/>
      <c r="G17" s="1">
        <v>1244</v>
      </c>
      <c r="H17" s="1">
        <v>755</v>
      </c>
      <c r="I17" s="1">
        <v>381</v>
      </c>
      <c r="J17" s="1">
        <v>1421</v>
      </c>
      <c r="K17" s="2"/>
      <c r="L17" s="1">
        <v>674</v>
      </c>
      <c r="M17" s="1">
        <v>1866</v>
      </c>
      <c r="N17" s="14">
        <v>848</v>
      </c>
      <c r="O17" s="14">
        <v>1989</v>
      </c>
      <c r="P17" s="2"/>
      <c r="Q17" s="1">
        <v>988</v>
      </c>
      <c r="R17" s="1">
        <v>861</v>
      </c>
      <c r="S17" s="1">
        <v>1485</v>
      </c>
      <c r="T17" s="1">
        <v>3057</v>
      </c>
      <c r="U17" s="2"/>
      <c r="V17" s="9">
        <v>1201</v>
      </c>
      <c r="W17" s="9">
        <v>1015</v>
      </c>
      <c r="X17" s="9">
        <v>1045</v>
      </c>
      <c r="Y17" s="9">
        <v>3276</v>
      </c>
      <c r="Z17" s="7"/>
    </row>
    <row r="18" spans="2:26">
      <c r="B18" s="1">
        <v>512</v>
      </c>
      <c r="C18" s="1">
        <v>144</v>
      </c>
      <c r="D18" s="1">
        <v>266</v>
      </c>
      <c r="E18" s="1">
        <v>388</v>
      </c>
      <c r="F18" s="2"/>
      <c r="G18" s="1">
        <v>739</v>
      </c>
      <c r="H18" s="1">
        <v>138</v>
      </c>
      <c r="I18" s="1">
        <v>365</v>
      </c>
      <c r="J18" s="1">
        <v>2450</v>
      </c>
      <c r="K18" s="2"/>
      <c r="L18" s="1">
        <v>653</v>
      </c>
      <c r="M18" s="1">
        <v>5406</v>
      </c>
      <c r="N18" s="14">
        <v>1049</v>
      </c>
      <c r="O18" s="14">
        <v>3823</v>
      </c>
      <c r="P18" s="2"/>
      <c r="Q18" s="1">
        <v>1501</v>
      </c>
      <c r="R18" s="1">
        <v>596</v>
      </c>
      <c r="S18" s="1">
        <v>1055</v>
      </c>
      <c r="T18" s="1">
        <v>5954</v>
      </c>
      <c r="U18" s="2"/>
      <c r="V18" s="9">
        <v>5365</v>
      </c>
      <c r="W18" s="9">
        <v>3583</v>
      </c>
      <c r="X18" s="9">
        <v>1136</v>
      </c>
      <c r="Y18" s="9">
        <v>2792</v>
      </c>
      <c r="Z18" s="7"/>
    </row>
    <row r="19" spans="2:26">
      <c r="B19" s="1">
        <v>1221</v>
      </c>
      <c r="C19" s="1">
        <v>158</v>
      </c>
      <c r="D19" s="1">
        <v>263</v>
      </c>
      <c r="E19" s="1">
        <v>467</v>
      </c>
      <c r="F19" s="2"/>
      <c r="G19" s="1">
        <v>7198</v>
      </c>
      <c r="H19" s="1">
        <v>159</v>
      </c>
      <c r="I19" s="1">
        <v>335</v>
      </c>
      <c r="J19" s="1">
        <v>1630</v>
      </c>
      <c r="K19" s="2"/>
      <c r="L19" s="1">
        <v>684</v>
      </c>
      <c r="M19" s="1">
        <v>3650</v>
      </c>
      <c r="N19" s="14">
        <v>1529</v>
      </c>
      <c r="O19" s="14">
        <v>2637</v>
      </c>
      <c r="P19" s="2"/>
      <c r="Q19" s="1">
        <v>5839</v>
      </c>
      <c r="R19" s="1">
        <v>2863</v>
      </c>
      <c r="S19" s="1">
        <v>1045</v>
      </c>
      <c r="T19" s="1">
        <v>2919</v>
      </c>
      <c r="U19" s="2"/>
      <c r="V19" s="9">
        <v>828</v>
      </c>
      <c r="W19" s="9">
        <v>1211</v>
      </c>
      <c r="X19" s="9">
        <v>1458</v>
      </c>
      <c r="Y19" s="9">
        <v>3153</v>
      </c>
      <c r="Z19" s="7"/>
    </row>
    <row r="20" spans="2:26">
      <c r="B20" s="1">
        <v>781</v>
      </c>
      <c r="C20" s="1">
        <v>147</v>
      </c>
      <c r="D20" s="1">
        <v>263</v>
      </c>
      <c r="E20" s="1">
        <v>648</v>
      </c>
      <c r="F20" s="2"/>
      <c r="G20" s="1">
        <v>5347</v>
      </c>
      <c r="H20" s="1">
        <v>150</v>
      </c>
      <c r="I20" s="1">
        <v>499542</v>
      </c>
      <c r="J20" s="1">
        <v>1121</v>
      </c>
      <c r="K20" s="2"/>
      <c r="L20" s="1">
        <v>656</v>
      </c>
      <c r="M20" s="1">
        <v>13214</v>
      </c>
      <c r="N20" s="14">
        <v>1111</v>
      </c>
      <c r="O20" s="14">
        <v>1951</v>
      </c>
      <c r="P20" s="2"/>
      <c r="Q20" s="1">
        <v>971</v>
      </c>
      <c r="R20" s="1">
        <v>795</v>
      </c>
      <c r="S20" s="1">
        <v>1028</v>
      </c>
      <c r="T20" s="1">
        <v>5866</v>
      </c>
      <c r="U20" s="2"/>
      <c r="V20" s="9">
        <v>836</v>
      </c>
      <c r="W20" s="9">
        <v>721</v>
      </c>
      <c r="X20" s="9">
        <v>3112</v>
      </c>
      <c r="Y20" s="9">
        <v>6585</v>
      </c>
      <c r="Z20" s="7"/>
    </row>
    <row r="21" spans="2:26">
      <c r="B21" s="1">
        <v>511</v>
      </c>
      <c r="C21" s="1">
        <v>85</v>
      </c>
      <c r="D21" s="1">
        <v>273</v>
      </c>
      <c r="E21" s="1">
        <v>496</v>
      </c>
      <c r="F21" s="2"/>
      <c r="G21" s="1">
        <v>555</v>
      </c>
      <c r="H21" s="1">
        <v>141</v>
      </c>
      <c r="I21" s="1">
        <v>380</v>
      </c>
      <c r="J21" s="1">
        <v>1195</v>
      </c>
      <c r="K21" s="2"/>
      <c r="L21" s="1">
        <v>628</v>
      </c>
      <c r="M21" s="1">
        <v>224</v>
      </c>
      <c r="N21" s="14">
        <v>1046</v>
      </c>
      <c r="O21" s="14">
        <v>3766</v>
      </c>
      <c r="P21" s="2"/>
      <c r="Q21" s="1">
        <v>6962</v>
      </c>
      <c r="R21" s="1">
        <v>16676</v>
      </c>
      <c r="S21" s="1">
        <v>1172</v>
      </c>
      <c r="T21" s="1">
        <v>3035</v>
      </c>
      <c r="U21" s="2"/>
      <c r="V21" s="9">
        <v>5743</v>
      </c>
      <c r="W21" s="9">
        <v>690</v>
      </c>
      <c r="X21" s="9">
        <v>1217</v>
      </c>
      <c r="Y21" s="9">
        <v>3063</v>
      </c>
      <c r="Z21" s="7"/>
    </row>
    <row r="22" spans="2:26">
      <c r="B22" s="1">
        <v>652</v>
      </c>
      <c r="C22" s="1">
        <v>100</v>
      </c>
      <c r="D22" s="1">
        <v>271</v>
      </c>
      <c r="E22" s="1">
        <v>377</v>
      </c>
      <c r="F22" s="2"/>
      <c r="G22" s="1">
        <v>632</v>
      </c>
      <c r="H22" s="1">
        <v>163</v>
      </c>
      <c r="I22" s="1">
        <v>409</v>
      </c>
      <c r="J22" s="1">
        <v>1584</v>
      </c>
      <c r="K22" s="2"/>
      <c r="L22" s="1">
        <v>5838</v>
      </c>
      <c r="M22" s="1">
        <v>7349</v>
      </c>
      <c r="N22" s="14">
        <v>1056</v>
      </c>
      <c r="O22" s="14">
        <v>3390</v>
      </c>
      <c r="P22" s="2"/>
      <c r="Q22" s="1">
        <v>760</v>
      </c>
      <c r="R22" s="1">
        <v>7875</v>
      </c>
      <c r="S22" s="1">
        <v>1418</v>
      </c>
      <c r="T22" s="1">
        <v>3172</v>
      </c>
      <c r="U22" s="2"/>
      <c r="V22" s="9">
        <v>795</v>
      </c>
      <c r="W22" s="9">
        <v>1268</v>
      </c>
      <c r="X22" s="9">
        <v>2786</v>
      </c>
      <c r="Y22" s="9">
        <v>5718</v>
      </c>
      <c r="Z22" s="7"/>
    </row>
    <row r="23" spans="2:26">
      <c r="B23" s="1">
        <v>698</v>
      </c>
      <c r="C23" s="1">
        <v>145</v>
      </c>
      <c r="D23" s="1">
        <v>253</v>
      </c>
      <c r="E23" s="1">
        <v>389</v>
      </c>
      <c r="F23" s="2"/>
      <c r="G23" s="1">
        <v>672</v>
      </c>
      <c r="H23" s="1">
        <v>161</v>
      </c>
      <c r="I23" s="1">
        <v>296</v>
      </c>
      <c r="J23" s="1">
        <v>2221</v>
      </c>
      <c r="K23" s="2"/>
      <c r="L23" s="1">
        <v>649</v>
      </c>
      <c r="M23" s="1">
        <v>2861</v>
      </c>
      <c r="N23" s="14">
        <v>915</v>
      </c>
      <c r="O23" s="14">
        <v>2353</v>
      </c>
      <c r="P23" s="2"/>
      <c r="Q23" s="1">
        <v>834</v>
      </c>
      <c r="R23" s="1">
        <v>3936</v>
      </c>
      <c r="S23" s="1">
        <v>1388</v>
      </c>
      <c r="T23" s="1">
        <v>3314</v>
      </c>
      <c r="U23" s="2"/>
      <c r="V23" s="9">
        <v>5976</v>
      </c>
      <c r="W23" s="9">
        <v>3391</v>
      </c>
      <c r="X23" s="9">
        <v>3823</v>
      </c>
      <c r="Y23" s="9">
        <v>6872</v>
      </c>
      <c r="Z23" s="7"/>
    </row>
    <row r="24" spans="2:26">
      <c r="B24" s="1">
        <v>554</v>
      </c>
      <c r="C24" s="1">
        <v>147</v>
      </c>
      <c r="D24" s="1">
        <v>241</v>
      </c>
      <c r="E24" s="1">
        <v>435</v>
      </c>
      <c r="F24" s="2"/>
      <c r="G24" s="1">
        <v>557</v>
      </c>
      <c r="H24" s="1">
        <v>154</v>
      </c>
      <c r="I24" s="1">
        <v>3002</v>
      </c>
      <c r="J24" s="1">
        <v>1983</v>
      </c>
      <c r="K24" s="2"/>
      <c r="L24" s="1">
        <v>670</v>
      </c>
      <c r="M24" s="1">
        <v>199</v>
      </c>
      <c r="N24" s="14">
        <v>1117</v>
      </c>
      <c r="O24" s="14">
        <v>1997</v>
      </c>
      <c r="P24" s="2"/>
      <c r="Q24" s="1">
        <v>789</v>
      </c>
      <c r="R24" s="1">
        <v>859</v>
      </c>
      <c r="S24" s="1">
        <v>2990</v>
      </c>
      <c r="T24" s="1">
        <v>2270</v>
      </c>
      <c r="U24" s="2"/>
      <c r="V24" s="9">
        <v>1735</v>
      </c>
      <c r="W24" s="9">
        <v>504</v>
      </c>
      <c r="X24" s="9">
        <v>1331</v>
      </c>
      <c r="Y24" s="9">
        <v>3175</v>
      </c>
      <c r="Z24" s="7"/>
    </row>
    <row r="25" spans="2:26">
      <c r="B25" s="1">
        <v>546</v>
      </c>
      <c r="C25" s="1">
        <v>147</v>
      </c>
      <c r="D25" s="1">
        <v>239</v>
      </c>
      <c r="E25" s="1">
        <v>376</v>
      </c>
      <c r="F25" s="2"/>
      <c r="G25" s="1">
        <v>6230</v>
      </c>
      <c r="H25" s="1">
        <v>166</v>
      </c>
      <c r="I25" s="1">
        <v>1935</v>
      </c>
      <c r="J25" s="1">
        <v>1164</v>
      </c>
      <c r="K25" s="2"/>
      <c r="L25" s="1">
        <v>5353</v>
      </c>
      <c r="M25" s="1">
        <v>3372</v>
      </c>
      <c r="N25" s="14">
        <v>1058</v>
      </c>
      <c r="O25" s="14">
        <v>3452</v>
      </c>
      <c r="P25" s="2"/>
      <c r="Q25" s="1">
        <v>819</v>
      </c>
      <c r="R25" s="1">
        <v>438</v>
      </c>
      <c r="S25" s="1">
        <v>1039</v>
      </c>
      <c r="T25" s="1">
        <v>2745</v>
      </c>
      <c r="U25" s="2"/>
      <c r="V25" s="9">
        <v>959</v>
      </c>
      <c r="W25" s="9">
        <v>2627</v>
      </c>
      <c r="X25" s="9">
        <v>1152</v>
      </c>
      <c r="Y25" s="9">
        <v>6345</v>
      </c>
      <c r="Z25" s="7"/>
    </row>
    <row r="26" spans="2:26">
      <c r="B26" s="1">
        <v>567</v>
      </c>
      <c r="C26" s="1">
        <v>143</v>
      </c>
      <c r="D26" s="1">
        <v>250</v>
      </c>
      <c r="E26" s="1">
        <v>442</v>
      </c>
      <c r="F26" s="2"/>
      <c r="G26" s="1">
        <v>673</v>
      </c>
      <c r="H26" s="1">
        <v>3698</v>
      </c>
      <c r="I26" s="1">
        <v>367</v>
      </c>
      <c r="J26" s="1">
        <v>990</v>
      </c>
      <c r="K26" s="2"/>
      <c r="L26" s="1">
        <v>6112</v>
      </c>
      <c r="M26" s="1">
        <v>194</v>
      </c>
      <c r="N26" s="14">
        <v>1046</v>
      </c>
      <c r="O26" s="14">
        <v>5123</v>
      </c>
      <c r="P26" s="2"/>
      <c r="Q26" s="1">
        <v>837</v>
      </c>
      <c r="R26" s="1">
        <v>462</v>
      </c>
      <c r="S26" s="1">
        <v>1018</v>
      </c>
      <c r="T26" s="1">
        <v>6108</v>
      </c>
      <c r="U26" s="2"/>
      <c r="V26" s="9">
        <v>6015</v>
      </c>
      <c r="W26" s="9">
        <v>2184</v>
      </c>
      <c r="X26" s="9">
        <v>1057</v>
      </c>
      <c r="Y26" s="9">
        <v>6889</v>
      </c>
      <c r="Z26" s="7"/>
    </row>
    <row r="27" spans="2:26">
      <c r="B27" s="1">
        <v>540</v>
      </c>
      <c r="C27" s="1">
        <v>151</v>
      </c>
      <c r="D27" s="1">
        <v>247</v>
      </c>
      <c r="E27" s="1">
        <v>411</v>
      </c>
      <c r="F27" s="2"/>
      <c r="G27" s="1">
        <v>6165</v>
      </c>
      <c r="H27" s="1">
        <v>135</v>
      </c>
      <c r="I27" s="1">
        <v>894</v>
      </c>
      <c r="J27" s="1">
        <v>1735</v>
      </c>
      <c r="K27" s="2"/>
      <c r="L27" s="1">
        <v>664</v>
      </c>
      <c r="M27" s="1">
        <v>179</v>
      </c>
      <c r="N27" s="14">
        <v>880</v>
      </c>
      <c r="O27" s="14">
        <v>2269</v>
      </c>
      <c r="P27" s="2"/>
      <c r="Q27" s="1">
        <v>785</v>
      </c>
      <c r="R27" s="1">
        <v>808</v>
      </c>
      <c r="S27" s="1">
        <v>1071</v>
      </c>
      <c r="T27" s="1">
        <v>2779</v>
      </c>
      <c r="U27" s="2"/>
      <c r="V27" s="9">
        <v>1189</v>
      </c>
      <c r="W27" s="9">
        <v>546</v>
      </c>
      <c r="X27" s="9">
        <v>1049</v>
      </c>
      <c r="Y27" s="9">
        <v>7024</v>
      </c>
      <c r="Z27" s="7"/>
    </row>
    <row r="28" spans="2:26">
      <c r="B28" s="1">
        <v>512</v>
      </c>
      <c r="C28" s="1">
        <v>150</v>
      </c>
      <c r="D28" s="1">
        <v>241</v>
      </c>
      <c r="E28" s="1">
        <v>405</v>
      </c>
      <c r="F28" s="2"/>
      <c r="G28" s="1">
        <v>1015</v>
      </c>
      <c r="H28" s="1">
        <v>7271</v>
      </c>
      <c r="I28" s="1">
        <v>378</v>
      </c>
      <c r="J28" s="1">
        <v>1390</v>
      </c>
      <c r="K28" s="2"/>
      <c r="L28" s="1">
        <v>7301</v>
      </c>
      <c r="M28" s="1">
        <v>5300</v>
      </c>
      <c r="N28" s="14">
        <v>922</v>
      </c>
      <c r="O28" s="14">
        <v>1844</v>
      </c>
      <c r="P28" s="2"/>
      <c r="Q28" s="1">
        <v>5594</v>
      </c>
      <c r="R28" s="1">
        <v>2116</v>
      </c>
      <c r="S28" s="1">
        <v>2376</v>
      </c>
      <c r="T28" s="1">
        <v>2919</v>
      </c>
      <c r="U28" s="2"/>
      <c r="V28" s="9">
        <v>1215</v>
      </c>
      <c r="W28" s="9">
        <v>519</v>
      </c>
      <c r="X28" s="9">
        <v>1061</v>
      </c>
      <c r="Y28" s="9">
        <v>6737</v>
      </c>
      <c r="Z28" s="7"/>
    </row>
    <row r="29" spans="2:26">
      <c r="B29" s="1">
        <v>701</v>
      </c>
      <c r="C29" s="1">
        <v>141</v>
      </c>
      <c r="D29" s="1">
        <v>252</v>
      </c>
      <c r="E29" s="1">
        <v>393</v>
      </c>
      <c r="F29" s="2"/>
      <c r="G29" s="1">
        <v>598</v>
      </c>
      <c r="H29" s="1">
        <v>143</v>
      </c>
      <c r="I29" s="1">
        <v>293</v>
      </c>
      <c r="J29" s="1">
        <v>1531</v>
      </c>
      <c r="K29" s="2"/>
      <c r="L29" s="1">
        <v>628</v>
      </c>
      <c r="M29" s="1">
        <v>5549</v>
      </c>
      <c r="N29" s="14">
        <v>1085</v>
      </c>
      <c r="O29" s="14">
        <v>5156</v>
      </c>
      <c r="P29" s="2"/>
      <c r="Q29" s="1">
        <v>823</v>
      </c>
      <c r="R29" s="1">
        <v>427</v>
      </c>
      <c r="S29" s="1">
        <v>943</v>
      </c>
      <c r="T29" s="1">
        <v>2819</v>
      </c>
      <c r="U29" s="2"/>
      <c r="V29" s="9">
        <v>1707</v>
      </c>
      <c r="W29" s="9">
        <v>911</v>
      </c>
      <c r="X29" s="9">
        <v>1076</v>
      </c>
      <c r="Y29" s="9">
        <v>3421</v>
      </c>
      <c r="Z29" s="7"/>
    </row>
    <row r="30" spans="2:26">
      <c r="B30" s="1">
        <v>579</v>
      </c>
      <c r="C30" s="1">
        <v>144</v>
      </c>
      <c r="D30" s="1">
        <v>239</v>
      </c>
      <c r="E30" s="1">
        <v>416</v>
      </c>
      <c r="F30" s="2"/>
      <c r="G30" s="1">
        <v>1150</v>
      </c>
      <c r="H30" s="1">
        <v>5156</v>
      </c>
      <c r="I30" s="1">
        <v>444</v>
      </c>
      <c r="J30" s="1">
        <v>1326</v>
      </c>
      <c r="K30" s="2"/>
      <c r="L30" s="1">
        <v>631</v>
      </c>
      <c r="M30" s="1">
        <v>6546</v>
      </c>
      <c r="N30" s="14">
        <v>1075</v>
      </c>
      <c r="O30" s="14">
        <v>2382</v>
      </c>
      <c r="P30" s="2"/>
      <c r="Q30" s="1">
        <v>1020</v>
      </c>
      <c r="R30" s="1">
        <v>402</v>
      </c>
      <c r="S30" s="1">
        <v>2638</v>
      </c>
      <c r="T30" s="1">
        <v>2693</v>
      </c>
      <c r="U30" s="2"/>
      <c r="V30" s="9">
        <v>1186</v>
      </c>
      <c r="W30" s="9">
        <v>721</v>
      </c>
      <c r="X30" s="9">
        <v>2624</v>
      </c>
      <c r="Y30" s="9">
        <v>6818</v>
      </c>
      <c r="Z30" s="7"/>
    </row>
    <row r="31" spans="2:26">
      <c r="B31" s="1">
        <v>533</v>
      </c>
      <c r="C31" s="1">
        <v>150</v>
      </c>
      <c r="D31" s="1">
        <v>240</v>
      </c>
      <c r="E31" s="1">
        <v>405</v>
      </c>
      <c r="F31" s="2"/>
      <c r="G31" s="1">
        <v>650</v>
      </c>
      <c r="H31" s="1">
        <v>197</v>
      </c>
      <c r="I31" s="1">
        <v>438</v>
      </c>
      <c r="J31" s="1">
        <v>1149</v>
      </c>
      <c r="K31" s="2"/>
      <c r="L31" s="1">
        <v>635</v>
      </c>
      <c r="M31" s="1">
        <v>12066</v>
      </c>
      <c r="N31" s="14">
        <v>851</v>
      </c>
      <c r="O31" s="14">
        <v>1884</v>
      </c>
      <c r="P31" s="2"/>
      <c r="Q31" s="1">
        <v>1044</v>
      </c>
      <c r="R31" s="1">
        <v>388</v>
      </c>
      <c r="S31" s="1">
        <v>1034</v>
      </c>
      <c r="T31" s="1">
        <v>3046</v>
      </c>
      <c r="U31" s="2"/>
      <c r="V31" s="9">
        <v>1436</v>
      </c>
      <c r="W31" s="9">
        <v>2024</v>
      </c>
      <c r="X31" s="9">
        <v>1499</v>
      </c>
      <c r="Y31" s="9">
        <v>3539</v>
      </c>
      <c r="Z31" s="7"/>
    </row>
    <row r="32" spans="2:26">
      <c r="B32" s="1">
        <v>510</v>
      </c>
      <c r="C32" s="1">
        <v>154</v>
      </c>
      <c r="D32" s="1">
        <v>247</v>
      </c>
      <c r="E32" s="1">
        <v>402</v>
      </c>
      <c r="F32" s="2"/>
      <c r="G32" s="1">
        <v>640</v>
      </c>
      <c r="H32" s="1">
        <v>144</v>
      </c>
      <c r="I32" s="1">
        <v>3274</v>
      </c>
      <c r="J32" s="1">
        <v>1489</v>
      </c>
      <c r="K32" s="2"/>
      <c r="L32" s="1">
        <v>6240</v>
      </c>
      <c r="M32" s="1">
        <v>237</v>
      </c>
      <c r="N32" s="14">
        <v>1154</v>
      </c>
      <c r="O32" s="14">
        <v>2140</v>
      </c>
      <c r="P32" s="2"/>
      <c r="Q32" s="1">
        <v>822</v>
      </c>
      <c r="R32" s="1">
        <v>1840</v>
      </c>
      <c r="S32" s="1">
        <v>983</v>
      </c>
      <c r="T32" s="1">
        <v>5375</v>
      </c>
      <c r="U32" s="2"/>
      <c r="V32" s="9">
        <v>1253</v>
      </c>
      <c r="W32" s="9">
        <v>679</v>
      </c>
      <c r="X32" s="9">
        <v>2565</v>
      </c>
      <c r="Y32" s="9">
        <v>6813</v>
      </c>
      <c r="Z32" s="7"/>
    </row>
    <row r="33" spans="1:31">
      <c r="B33" s="1">
        <v>1083</v>
      </c>
      <c r="C33" s="1">
        <v>184</v>
      </c>
      <c r="D33" s="1">
        <v>261</v>
      </c>
      <c r="E33" s="1">
        <v>407</v>
      </c>
      <c r="F33" s="2"/>
      <c r="G33" s="1">
        <v>719</v>
      </c>
      <c r="H33" s="1">
        <v>184</v>
      </c>
      <c r="I33" s="1">
        <v>900</v>
      </c>
      <c r="J33" s="1">
        <v>1599</v>
      </c>
      <c r="K33" s="2"/>
      <c r="L33" s="1">
        <v>1413</v>
      </c>
      <c r="M33" s="1">
        <v>264</v>
      </c>
      <c r="N33" s="14">
        <v>820</v>
      </c>
      <c r="O33" s="14">
        <v>2469</v>
      </c>
      <c r="P33" s="2"/>
      <c r="Q33" s="1">
        <v>6433</v>
      </c>
      <c r="R33" s="1">
        <v>412</v>
      </c>
      <c r="S33" s="1">
        <v>1030</v>
      </c>
      <c r="T33" s="1">
        <v>2885</v>
      </c>
      <c r="U33" s="2"/>
      <c r="V33" s="9">
        <v>6481</v>
      </c>
      <c r="W33" s="9">
        <v>1130</v>
      </c>
      <c r="X33" s="9">
        <v>1180</v>
      </c>
      <c r="Y33" s="9">
        <v>2968</v>
      </c>
      <c r="Z33" s="7"/>
    </row>
    <row r="34" spans="1:31">
      <c r="B34" s="1">
        <v>1158</v>
      </c>
      <c r="C34" s="1">
        <v>142</v>
      </c>
      <c r="D34" s="1">
        <v>241</v>
      </c>
      <c r="E34" s="1">
        <v>392</v>
      </c>
      <c r="F34" s="2"/>
      <c r="G34" s="1">
        <v>729</v>
      </c>
      <c r="H34" s="1">
        <v>2700</v>
      </c>
      <c r="I34" s="1">
        <v>368</v>
      </c>
      <c r="J34" s="1">
        <v>1021</v>
      </c>
      <c r="K34" s="2"/>
      <c r="L34" s="1">
        <v>646</v>
      </c>
      <c r="M34" s="1">
        <v>15541</v>
      </c>
      <c r="N34" s="14">
        <v>705</v>
      </c>
      <c r="O34" s="14">
        <v>1936</v>
      </c>
      <c r="P34" s="2"/>
      <c r="Q34" s="1">
        <v>799</v>
      </c>
      <c r="R34" s="1">
        <v>12400</v>
      </c>
      <c r="S34" s="1">
        <v>1520</v>
      </c>
      <c r="T34" s="1">
        <v>2548</v>
      </c>
      <c r="U34" s="2"/>
      <c r="V34" s="9">
        <v>832</v>
      </c>
      <c r="W34" s="9">
        <v>16995</v>
      </c>
      <c r="X34" s="9">
        <v>1111</v>
      </c>
      <c r="Y34" s="9">
        <v>6563</v>
      </c>
      <c r="Z34" s="7"/>
    </row>
    <row r="35" spans="1:31">
      <c r="B35" s="1">
        <v>509</v>
      </c>
      <c r="C35" s="1">
        <v>149</v>
      </c>
      <c r="D35" s="1">
        <v>240</v>
      </c>
      <c r="E35" s="1">
        <v>382</v>
      </c>
      <c r="F35" s="2"/>
      <c r="G35" s="1">
        <v>1028</v>
      </c>
      <c r="H35" s="1">
        <v>169</v>
      </c>
      <c r="I35" s="1">
        <v>387</v>
      </c>
      <c r="J35" s="1">
        <v>1376</v>
      </c>
      <c r="K35" s="2"/>
      <c r="L35" s="1">
        <v>6837</v>
      </c>
      <c r="M35" s="1">
        <v>13137</v>
      </c>
      <c r="N35" s="14">
        <v>758</v>
      </c>
      <c r="O35" s="24">
        <v>5247</v>
      </c>
      <c r="P35" s="2"/>
      <c r="Q35" s="1">
        <v>6906</v>
      </c>
      <c r="R35" s="1">
        <v>3247</v>
      </c>
      <c r="S35" s="1">
        <v>1632</v>
      </c>
      <c r="T35" s="1">
        <v>2510</v>
      </c>
      <c r="U35" s="2"/>
      <c r="V35" s="9">
        <v>6586</v>
      </c>
      <c r="W35" s="9">
        <v>580</v>
      </c>
      <c r="X35" s="9">
        <v>1178</v>
      </c>
      <c r="Y35" s="9">
        <v>3249</v>
      </c>
      <c r="Z35" s="7"/>
    </row>
    <row r="36" spans="1:31">
      <c r="A36" s="6" t="s">
        <v>10</v>
      </c>
      <c r="B36" s="3">
        <f>AVERAGE(B6:B35)</f>
        <v>663.9666666666667</v>
      </c>
      <c r="C36" s="3">
        <f>AVERAGE(C6:C35)</f>
        <v>141.06666666666666</v>
      </c>
      <c r="D36" s="3">
        <f>AVERAGE(D6:D35)</f>
        <v>256.33333333333331</v>
      </c>
      <c r="E36" s="3">
        <f>AVERAGE(E6:E35)</f>
        <v>457.06666666666666</v>
      </c>
      <c r="F36" s="2"/>
      <c r="G36" s="3">
        <f>AVERAGE(G6:G35)</f>
        <v>1792.3333333333333</v>
      </c>
      <c r="H36" s="3">
        <f>AVERAGE(H6:H35)</f>
        <v>1776.8</v>
      </c>
      <c r="I36" s="3">
        <v>168</v>
      </c>
      <c r="J36" s="3">
        <f>AVERAGE(J6:J35)</f>
        <v>1481.8</v>
      </c>
      <c r="K36" s="2"/>
      <c r="L36" s="3">
        <f>AVERAGE(L6:L35)</f>
        <v>2572.4666666666667</v>
      </c>
      <c r="M36" s="3">
        <f>AVERAGE(M6:M35)</f>
        <v>7505.6333333333332</v>
      </c>
      <c r="N36" s="15">
        <v>229</v>
      </c>
      <c r="O36" s="15">
        <f>AVERAGE(O6:O35)</f>
        <v>2822.5333333333333</v>
      </c>
      <c r="P36" s="2"/>
      <c r="Q36" s="3">
        <f>AVERAGE(Q6:Q35)</f>
        <v>2306.6333333333332</v>
      </c>
      <c r="R36" s="3">
        <f>AVERAGE(R6:R35)</f>
        <v>3525.7</v>
      </c>
      <c r="S36" s="3">
        <v>448</v>
      </c>
      <c r="T36" s="3">
        <f>AVERAGE(T6:T35)</f>
        <v>3330.4666666666667</v>
      </c>
      <c r="U36" s="2"/>
      <c r="V36" s="11">
        <f>AVERAGE(V6:V35)</f>
        <v>2194.8666666666668</v>
      </c>
      <c r="W36" s="11">
        <f>AVERAGE(W6:W35)</f>
        <v>1583.5333333333333</v>
      </c>
      <c r="X36" s="11">
        <v>430</v>
      </c>
      <c r="Y36" s="11">
        <f>AVERAGE(Y6:Y35)</f>
        <v>4624.5333333333338</v>
      </c>
      <c r="Z36" s="7"/>
    </row>
    <row r="37" spans="1:31">
      <c r="V37" s="7"/>
      <c r="W37" s="7"/>
      <c r="X37" s="7"/>
      <c r="Y37" s="7"/>
      <c r="Z37" s="7"/>
    </row>
    <row r="38" spans="1:31" ht="15.75" thickBot="1">
      <c r="V38" s="7"/>
      <c r="W38" s="7"/>
      <c r="X38" s="7"/>
      <c r="Y38" s="7"/>
      <c r="Z38" s="7"/>
    </row>
    <row r="39" spans="1:31" s="7" customFormat="1" ht="16.5" customHeight="1" thickBot="1">
      <c r="B39" s="66" t="s">
        <v>41</v>
      </c>
      <c r="C39" s="67"/>
      <c r="D39" s="67"/>
      <c r="E39" s="68"/>
      <c r="G39" s="66" t="s">
        <v>41</v>
      </c>
      <c r="H39" s="67"/>
      <c r="I39" s="67"/>
      <c r="J39" s="68"/>
      <c r="L39" s="66" t="s">
        <v>41</v>
      </c>
      <c r="M39" s="67"/>
      <c r="N39" s="67"/>
      <c r="O39" s="68"/>
      <c r="Q39" s="66" t="s">
        <v>41</v>
      </c>
      <c r="R39" s="67"/>
      <c r="S39" s="67"/>
      <c r="T39" s="68"/>
      <c r="V39" s="66" t="s">
        <v>41</v>
      </c>
      <c r="W39" s="67"/>
      <c r="X39" s="67"/>
      <c r="Y39" s="68"/>
      <c r="AA39" s="20"/>
      <c r="AB39" s="20"/>
      <c r="AC39" s="20"/>
      <c r="AD39" s="20"/>
      <c r="AE39" s="20"/>
    </row>
    <row r="40" spans="1:31" s="7" customFormat="1" ht="13.5" customHeight="1" thickBot="1">
      <c r="B40" s="63" t="s">
        <v>11</v>
      </c>
      <c r="C40" s="64"/>
      <c r="D40" s="64"/>
      <c r="E40" s="65"/>
      <c r="G40" s="59" t="s">
        <v>12</v>
      </c>
      <c r="H40" s="59"/>
      <c r="I40" s="59"/>
      <c r="J40" s="59"/>
      <c r="L40" s="59" t="s">
        <v>13</v>
      </c>
      <c r="M40" s="59"/>
      <c r="N40" s="59"/>
      <c r="O40" s="59"/>
      <c r="Q40" s="59" t="s">
        <v>14</v>
      </c>
      <c r="R40" s="59"/>
      <c r="S40" s="59"/>
      <c r="T40" s="59"/>
      <c r="V40" s="59" t="s">
        <v>15</v>
      </c>
      <c r="W40" s="59"/>
      <c r="X40" s="59"/>
      <c r="Y40" s="59"/>
      <c r="AA40" s="21"/>
      <c r="AB40" s="21"/>
      <c r="AC40" s="21"/>
      <c r="AD40" s="21"/>
      <c r="AE40" s="21"/>
    </row>
    <row r="41" spans="1:31" s="7" customFormat="1" ht="45.75" thickBot="1">
      <c r="B41" s="28" t="s">
        <v>6</v>
      </c>
      <c r="C41" s="44" t="s">
        <v>7</v>
      </c>
      <c r="D41" s="43" t="s">
        <v>8</v>
      </c>
      <c r="E41" s="43" t="s">
        <v>9</v>
      </c>
      <c r="G41" s="28" t="s">
        <v>6</v>
      </c>
      <c r="H41" s="44" t="s">
        <v>7</v>
      </c>
      <c r="I41" s="43" t="s">
        <v>8</v>
      </c>
      <c r="J41" s="43" t="s">
        <v>9</v>
      </c>
      <c r="L41" s="28" t="s">
        <v>6</v>
      </c>
      <c r="M41" s="44" t="s">
        <v>7</v>
      </c>
      <c r="N41" s="43" t="s">
        <v>8</v>
      </c>
      <c r="O41" s="43" t="s">
        <v>9</v>
      </c>
      <c r="Q41" s="28" t="s">
        <v>6</v>
      </c>
      <c r="R41" s="44" t="s">
        <v>7</v>
      </c>
      <c r="S41" s="43" t="s">
        <v>8</v>
      </c>
      <c r="T41" s="43" t="s">
        <v>9</v>
      </c>
      <c r="V41" s="28" t="s">
        <v>6</v>
      </c>
      <c r="W41" s="44" t="s">
        <v>7</v>
      </c>
      <c r="X41" s="43" t="s">
        <v>8</v>
      </c>
      <c r="Y41" s="43" t="s">
        <v>9</v>
      </c>
    </row>
    <row r="42" spans="1:31">
      <c r="B42" s="1">
        <v>4698</v>
      </c>
      <c r="C42" s="1">
        <v>1299</v>
      </c>
      <c r="D42" s="1">
        <v>2131</v>
      </c>
      <c r="E42" s="1">
        <v>3351</v>
      </c>
      <c r="F42" s="2"/>
      <c r="G42" s="1">
        <v>11688</v>
      </c>
      <c r="H42" s="1">
        <v>412</v>
      </c>
      <c r="I42" s="1">
        <v>2304</v>
      </c>
      <c r="J42" s="1">
        <v>8485</v>
      </c>
      <c r="K42" s="2"/>
      <c r="L42" s="1">
        <v>9946</v>
      </c>
      <c r="M42" s="1">
        <v>31900</v>
      </c>
      <c r="N42" s="1">
        <v>4835</v>
      </c>
      <c r="O42" s="14">
        <v>32415</v>
      </c>
      <c r="P42" s="2"/>
      <c r="Q42" s="1">
        <v>59488</v>
      </c>
      <c r="R42" s="1">
        <v>62560</v>
      </c>
      <c r="S42" s="1">
        <v>6670</v>
      </c>
      <c r="T42" s="1">
        <v>13305</v>
      </c>
      <c r="U42" s="2"/>
      <c r="V42" s="9">
        <v>4530</v>
      </c>
      <c r="W42" s="9">
        <v>3451</v>
      </c>
      <c r="X42" s="9">
        <v>7147</v>
      </c>
      <c r="Y42" s="9">
        <v>14176</v>
      </c>
      <c r="Z42" s="7"/>
    </row>
    <row r="43" spans="1:31">
      <c r="B43" s="1">
        <v>4570</v>
      </c>
      <c r="C43" s="1">
        <v>1343</v>
      </c>
      <c r="D43" s="1">
        <v>2086</v>
      </c>
      <c r="E43" s="1">
        <v>4029</v>
      </c>
      <c r="F43" s="2"/>
      <c r="G43" s="1">
        <v>9232</v>
      </c>
      <c r="H43" s="1">
        <v>622</v>
      </c>
      <c r="I43" s="1">
        <v>1961</v>
      </c>
      <c r="J43" s="1">
        <v>8600</v>
      </c>
      <c r="K43" s="2"/>
      <c r="L43" s="1">
        <v>55188</v>
      </c>
      <c r="M43" s="1">
        <v>3575</v>
      </c>
      <c r="N43" s="1">
        <v>5706</v>
      </c>
      <c r="O43" s="14">
        <v>30012</v>
      </c>
      <c r="P43" s="2"/>
      <c r="Q43" s="1">
        <v>53327</v>
      </c>
      <c r="R43" s="1">
        <v>17041</v>
      </c>
      <c r="S43" s="1">
        <v>8279</v>
      </c>
      <c r="T43" s="1">
        <v>12445</v>
      </c>
      <c r="U43" s="2"/>
      <c r="V43" s="9">
        <v>5060</v>
      </c>
      <c r="W43" s="9">
        <v>1443</v>
      </c>
      <c r="X43" s="9">
        <v>6522</v>
      </c>
      <c r="Y43" s="9">
        <v>15458</v>
      </c>
      <c r="Z43" s="7"/>
    </row>
    <row r="44" spans="1:31">
      <c r="B44" s="1">
        <v>4232</v>
      </c>
      <c r="C44" s="1">
        <v>1185</v>
      </c>
      <c r="D44" s="1">
        <v>2109</v>
      </c>
      <c r="E44" s="1">
        <v>3189</v>
      </c>
      <c r="F44" s="2"/>
      <c r="G44" s="1">
        <v>4215</v>
      </c>
      <c r="H44" s="1">
        <v>633</v>
      </c>
      <c r="I44" s="1">
        <v>22248</v>
      </c>
      <c r="J44" s="1">
        <v>11045</v>
      </c>
      <c r="K44" s="2"/>
      <c r="L44" s="1">
        <v>4342</v>
      </c>
      <c r="M44" s="1">
        <v>18702</v>
      </c>
      <c r="N44" s="1">
        <v>4943</v>
      </c>
      <c r="O44" s="14">
        <v>27272</v>
      </c>
      <c r="P44" s="2"/>
      <c r="Q44" s="1">
        <v>7522</v>
      </c>
      <c r="R44" s="1">
        <v>4839</v>
      </c>
      <c r="S44" s="1">
        <v>6804</v>
      </c>
      <c r="T44" s="1">
        <v>40440</v>
      </c>
      <c r="U44" s="2"/>
      <c r="V44" s="9">
        <v>4272</v>
      </c>
      <c r="W44" s="9">
        <v>1298</v>
      </c>
      <c r="X44" s="9">
        <v>16777</v>
      </c>
      <c r="Y44" s="9">
        <v>16415</v>
      </c>
      <c r="Z44" s="7"/>
    </row>
    <row r="45" spans="1:31">
      <c r="B45" s="1">
        <v>4245</v>
      </c>
      <c r="C45" s="1">
        <v>1253</v>
      </c>
      <c r="D45" s="1">
        <v>2121</v>
      </c>
      <c r="E45" s="1">
        <v>3088</v>
      </c>
      <c r="F45" s="2"/>
      <c r="G45" s="1">
        <v>4050</v>
      </c>
      <c r="H45" s="1">
        <v>41886</v>
      </c>
      <c r="I45" s="1">
        <v>2355</v>
      </c>
      <c r="J45" s="1">
        <v>7775</v>
      </c>
      <c r="K45" s="2"/>
      <c r="L45" s="1">
        <v>4271</v>
      </c>
      <c r="M45" s="1">
        <v>8730</v>
      </c>
      <c r="N45" s="1">
        <v>16983</v>
      </c>
      <c r="O45" s="14">
        <v>10824</v>
      </c>
      <c r="P45" s="2"/>
      <c r="Q45" s="1">
        <v>60211</v>
      </c>
      <c r="R45" s="1">
        <v>8524</v>
      </c>
      <c r="S45" s="1">
        <v>7967</v>
      </c>
      <c r="T45" s="1">
        <v>15033</v>
      </c>
      <c r="U45" s="2"/>
      <c r="V45" s="9">
        <v>8238</v>
      </c>
      <c r="W45" s="9">
        <v>1438</v>
      </c>
      <c r="X45" s="9">
        <v>5730</v>
      </c>
      <c r="Y45" s="9">
        <v>48093</v>
      </c>
      <c r="Z45" s="7"/>
    </row>
    <row r="46" spans="1:31">
      <c r="B46" s="1">
        <v>4362</v>
      </c>
      <c r="C46" s="1">
        <v>1154</v>
      </c>
      <c r="D46" s="1">
        <v>2121</v>
      </c>
      <c r="E46" s="1">
        <v>3469</v>
      </c>
      <c r="F46" s="2"/>
      <c r="G46" s="1">
        <v>4044</v>
      </c>
      <c r="H46" s="1">
        <v>849</v>
      </c>
      <c r="I46" s="1">
        <v>2271</v>
      </c>
      <c r="J46" s="1">
        <v>8404</v>
      </c>
      <c r="K46" s="2"/>
      <c r="L46" s="1">
        <v>4329</v>
      </c>
      <c r="M46" s="1">
        <v>436</v>
      </c>
      <c r="N46" s="1">
        <v>5469</v>
      </c>
      <c r="O46" s="14">
        <v>10771</v>
      </c>
      <c r="P46" s="2"/>
      <c r="Q46" s="1">
        <v>5164</v>
      </c>
      <c r="R46" s="1">
        <v>4147</v>
      </c>
      <c r="S46" s="1">
        <v>8842</v>
      </c>
      <c r="T46" s="1">
        <v>42480</v>
      </c>
      <c r="U46" s="2"/>
      <c r="V46" s="9">
        <v>52108</v>
      </c>
      <c r="W46" s="9">
        <v>1405</v>
      </c>
      <c r="X46" s="9">
        <v>6459</v>
      </c>
      <c r="Y46" s="9">
        <v>17128</v>
      </c>
      <c r="Z46" s="7"/>
    </row>
    <row r="47" spans="1:31">
      <c r="B47" s="1">
        <v>5583</v>
      </c>
      <c r="C47" s="1">
        <v>13323</v>
      </c>
      <c r="D47" s="1">
        <v>2090</v>
      </c>
      <c r="E47" s="1">
        <v>2989</v>
      </c>
      <c r="F47" s="2"/>
      <c r="G47" s="1">
        <v>56455</v>
      </c>
      <c r="H47" s="1">
        <v>676</v>
      </c>
      <c r="I47" s="1">
        <v>23264</v>
      </c>
      <c r="J47" s="1">
        <v>8285</v>
      </c>
      <c r="K47" s="2"/>
      <c r="L47" s="1">
        <v>6559</v>
      </c>
      <c r="M47" s="1">
        <v>2036</v>
      </c>
      <c r="N47" s="1">
        <v>4864</v>
      </c>
      <c r="O47" s="14">
        <v>30623</v>
      </c>
      <c r="P47" s="2"/>
      <c r="Q47" s="1">
        <v>5860</v>
      </c>
      <c r="R47" s="1">
        <v>15630</v>
      </c>
      <c r="S47" s="1">
        <v>6149</v>
      </c>
      <c r="T47" s="1">
        <v>43358</v>
      </c>
      <c r="U47" s="2"/>
      <c r="V47" s="9">
        <v>6072</v>
      </c>
      <c r="W47" s="9">
        <v>1176</v>
      </c>
      <c r="X47" s="9">
        <v>6615</v>
      </c>
      <c r="Y47" s="9">
        <v>16517</v>
      </c>
      <c r="Z47" s="7"/>
    </row>
    <row r="48" spans="1:31">
      <c r="B48" s="1">
        <v>8771</v>
      </c>
      <c r="C48" s="1">
        <v>1169</v>
      </c>
      <c r="D48" s="1">
        <v>2137</v>
      </c>
      <c r="E48" s="1">
        <v>2908</v>
      </c>
      <c r="F48" s="2"/>
      <c r="G48" s="1">
        <v>13227</v>
      </c>
      <c r="H48" s="1">
        <v>2562</v>
      </c>
      <c r="I48" s="1">
        <v>2096</v>
      </c>
      <c r="J48" s="1">
        <v>9492</v>
      </c>
      <c r="K48" s="2"/>
      <c r="L48" s="1">
        <v>4833</v>
      </c>
      <c r="M48" s="1">
        <v>18485</v>
      </c>
      <c r="N48" s="1">
        <v>4797</v>
      </c>
      <c r="O48" s="14">
        <v>10422</v>
      </c>
      <c r="P48" s="2"/>
      <c r="Q48" s="1">
        <v>5286</v>
      </c>
      <c r="R48" s="1">
        <v>1082</v>
      </c>
      <c r="S48" s="1">
        <v>6489</v>
      </c>
      <c r="T48" s="1">
        <v>42856</v>
      </c>
      <c r="U48" s="2"/>
      <c r="V48" s="9">
        <v>55045</v>
      </c>
      <c r="W48" s="9">
        <v>1616</v>
      </c>
      <c r="X48" s="9">
        <v>6540</v>
      </c>
      <c r="Y48" s="9">
        <v>16320</v>
      </c>
      <c r="Z48" s="7"/>
    </row>
    <row r="49" spans="2:26">
      <c r="B49" s="1">
        <v>7021</v>
      </c>
      <c r="C49" s="1">
        <v>1177</v>
      </c>
      <c r="D49" s="1">
        <v>1990</v>
      </c>
      <c r="E49" s="1">
        <v>3042</v>
      </c>
      <c r="F49" s="2"/>
      <c r="G49" s="1">
        <v>45219</v>
      </c>
      <c r="H49" s="1">
        <v>4751</v>
      </c>
      <c r="I49" s="1">
        <v>2683</v>
      </c>
      <c r="J49" s="1">
        <v>8937</v>
      </c>
      <c r="K49" s="2"/>
      <c r="L49" s="1">
        <v>4382</v>
      </c>
      <c r="M49" s="1">
        <v>7903</v>
      </c>
      <c r="N49" s="1">
        <v>7184</v>
      </c>
      <c r="O49" s="14">
        <v>36344</v>
      </c>
      <c r="P49" s="2"/>
      <c r="Q49" s="1">
        <v>6109</v>
      </c>
      <c r="R49" s="1">
        <v>2887</v>
      </c>
      <c r="S49" s="1">
        <v>18158</v>
      </c>
      <c r="T49" s="1">
        <v>14305</v>
      </c>
      <c r="U49" s="2"/>
      <c r="V49" s="9">
        <v>46906</v>
      </c>
      <c r="W49" s="9">
        <v>1502</v>
      </c>
      <c r="X49" s="9">
        <v>18455</v>
      </c>
      <c r="Y49" s="9">
        <v>16331</v>
      </c>
      <c r="Z49" s="7"/>
    </row>
    <row r="50" spans="2:26">
      <c r="B50" s="1">
        <v>4994</v>
      </c>
      <c r="C50" s="1">
        <v>1148</v>
      </c>
      <c r="D50" s="1">
        <v>2045</v>
      </c>
      <c r="E50" s="1">
        <v>3142</v>
      </c>
      <c r="F50" s="2"/>
      <c r="G50" s="1">
        <v>39175</v>
      </c>
      <c r="H50" s="1">
        <v>9268</v>
      </c>
      <c r="I50" s="1">
        <v>21298</v>
      </c>
      <c r="J50" s="1">
        <v>9526</v>
      </c>
      <c r="K50" s="2"/>
      <c r="L50" s="1">
        <v>4375</v>
      </c>
      <c r="M50" s="1">
        <v>6443</v>
      </c>
      <c r="N50" s="1">
        <v>12668</v>
      </c>
      <c r="O50" s="14">
        <v>41669</v>
      </c>
      <c r="P50" s="2"/>
      <c r="Q50" s="1">
        <v>5365</v>
      </c>
      <c r="R50" s="1">
        <v>1107</v>
      </c>
      <c r="S50" s="1">
        <v>6373</v>
      </c>
      <c r="T50" s="1">
        <v>12443</v>
      </c>
      <c r="U50" s="2"/>
      <c r="V50" s="9">
        <v>5180</v>
      </c>
      <c r="W50" s="9">
        <v>1332</v>
      </c>
      <c r="X50" s="9">
        <v>5530</v>
      </c>
      <c r="Y50" s="9">
        <v>14709</v>
      </c>
      <c r="Z50" s="7"/>
    </row>
    <row r="51" spans="2:26">
      <c r="B51" s="1">
        <v>4449</v>
      </c>
      <c r="C51" s="1">
        <v>1008</v>
      </c>
      <c r="D51" s="1">
        <v>2034</v>
      </c>
      <c r="E51" s="1">
        <v>3022</v>
      </c>
      <c r="F51" s="2"/>
      <c r="G51" s="1">
        <v>6028</v>
      </c>
      <c r="H51" s="1">
        <v>775</v>
      </c>
      <c r="I51" s="1">
        <v>2383</v>
      </c>
      <c r="J51" s="1">
        <v>8388</v>
      </c>
      <c r="K51" s="2"/>
      <c r="L51" s="1">
        <v>4405</v>
      </c>
      <c r="M51" s="1">
        <v>5377</v>
      </c>
      <c r="N51" s="1">
        <v>5870</v>
      </c>
      <c r="O51" s="14">
        <v>30730</v>
      </c>
      <c r="P51" s="2"/>
      <c r="Q51" s="1">
        <v>55218</v>
      </c>
      <c r="R51" s="1">
        <v>6703</v>
      </c>
      <c r="S51" s="1">
        <v>17484</v>
      </c>
      <c r="T51" s="1">
        <v>13133</v>
      </c>
      <c r="U51" s="2"/>
      <c r="V51" s="9">
        <v>4568</v>
      </c>
      <c r="W51" s="9">
        <v>1064</v>
      </c>
      <c r="X51" s="9">
        <v>6383</v>
      </c>
      <c r="Y51" s="9">
        <v>49049</v>
      </c>
      <c r="Z51" s="7"/>
    </row>
    <row r="52" spans="2:26">
      <c r="B52" s="1">
        <v>4379</v>
      </c>
      <c r="C52" s="1">
        <v>662</v>
      </c>
      <c r="D52" s="1">
        <v>1894</v>
      </c>
      <c r="E52" s="1">
        <v>2911</v>
      </c>
      <c r="F52" s="2"/>
      <c r="G52" s="1">
        <v>8689</v>
      </c>
      <c r="H52" s="1">
        <v>3595</v>
      </c>
      <c r="I52" s="1">
        <v>2578</v>
      </c>
      <c r="J52" s="1">
        <v>8008</v>
      </c>
      <c r="K52" s="2"/>
      <c r="L52" s="1">
        <v>51900</v>
      </c>
      <c r="M52" s="1">
        <v>17272</v>
      </c>
      <c r="N52" s="1">
        <v>4943</v>
      </c>
      <c r="O52" s="14">
        <v>13070</v>
      </c>
      <c r="P52" s="2"/>
      <c r="Q52" s="1">
        <v>6813</v>
      </c>
      <c r="R52" s="1">
        <v>916</v>
      </c>
      <c r="S52" s="1">
        <v>6385</v>
      </c>
      <c r="T52" s="1">
        <v>38990</v>
      </c>
      <c r="U52" s="2"/>
      <c r="V52" s="9">
        <v>56970</v>
      </c>
      <c r="W52" s="9">
        <v>1038</v>
      </c>
      <c r="X52" s="9">
        <v>6559</v>
      </c>
      <c r="Y52" s="9">
        <v>17581</v>
      </c>
      <c r="Z52" s="7"/>
    </row>
    <row r="53" spans="2:26">
      <c r="B53" s="1">
        <v>9249</v>
      </c>
      <c r="C53" s="1">
        <v>898</v>
      </c>
      <c r="D53" s="1">
        <v>1965</v>
      </c>
      <c r="E53" s="1">
        <v>3101</v>
      </c>
      <c r="F53" s="2"/>
      <c r="G53" s="1">
        <v>4020</v>
      </c>
      <c r="H53" s="1">
        <v>4292</v>
      </c>
      <c r="I53" s="1">
        <v>17026</v>
      </c>
      <c r="J53" s="1">
        <v>9471</v>
      </c>
      <c r="K53" s="2"/>
      <c r="L53" s="1">
        <v>7000</v>
      </c>
      <c r="M53" s="1">
        <v>7550</v>
      </c>
      <c r="N53" s="1">
        <v>4658</v>
      </c>
      <c r="O53" s="14">
        <v>11104</v>
      </c>
      <c r="P53" s="2"/>
      <c r="Q53" s="1">
        <v>7352</v>
      </c>
      <c r="R53" s="1">
        <v>2201</v>
      </c>
      <c r="S53" s="1">
        <v>5920</v>
      </c>
      <c r="T53" s="1">
        <v>13628</v>
      </c>
      <c r="U53" s="2"/>
      <c r="V53" s="9">
        <v>4899</v>
      </c>
      <c r="W53" s="9">
        <v>1009</v>
      </c>
      <c r="X53" s="9">
        <v>18093</v>
      </c>
      <c r="Y53" s="9">
        <v>48532</v>
      </c>
      <c r="Z53" s="7"/>
    </row>
    <row r="54" spans="2:26">
      <c r="B54" s="1">
        <v>7916</v>
      </c>
      <c r="C54" s="1">
        <v>1155</v>
      </c>
      <c r="D54" s="1">
        <v>1895</v>
      </c>
      <c r="E54" s="1">
        <v>3209</v>
      </c>
      <c r="F54" s="2"/>
      <c r="G54" s="1">
        <v>58926</v>
      </c>
      <c r="H54" s="1">
        <v>1010</v>
      </c>
      <c r="I54" s="1">
        <v>2220</v>
      </c>
      <c r="J54" s="1">
        <v>8816</v>
      </c>
      <c r="K54" s="2"/>
      <c r="L54" s="1">
        <v>4461</v>
      </c>
      <c r="M54" s="1">
        <v>4333</v>
      </c>
      <c r="N54" s="1">
        <v>5422</v>
      </c>
      <c r="O54" s="14">
        <v>13563</v>
      </c>
      <c r="P54" s="2"/>
      <c r="Q54" s="1">
        <v>53333</v>
      </c>
      <c r="R54" s="1">
        <v>1929</v>
      </c>
      <c r="S54" s="1">
        <v>20039</v>
      </c>
      <c r="T54" s="1">
        <v>13803</v>
      </c>
      <c r="U54" s="2"/>
      <c r="V54" s="9">
        <v>53778</v>
      </c>
      <c r="W54" s="9">
        <v>5815</v>
      </c>
      <c r="X54" s="9">
        <v>16918</v>
      </c>
      <c r="Y54" s="9">
        <v>17374</v>
      </c>
      <c r="Z54" s="7"/>
    </row>
    <row r="55" spans="2:26">
      <c r="B55" s="1">
        <v>4244</v>
      </c>
      <c r="C55" s="1">
        <v>1151</v>
      </c>
      <c r="D55" s="1">
        <v>1955</v>
      </c>
      <c r="E55" s="1">
        <v>3264</v>
      </c>
      <c r="F55" s="2"/>
      <c r="G55" s="1">
        <v>59097</v>
      </c>
      <c r="H55" s="1">
        <v>688</v>
      </c>
      <c r="I55" s="1">
        <v>6353</v>
      </c>
      <c r="J55" s="1">
        <v>8601</v>
      </c>
      <c r="K55" s="2"/>
      <c r="L55" s="1">
        <v>53314</v>
      </c>
      <c r="M55" s="1">
        <v>25028</v>
      </c>
      <c r="N55" s="1">
        <v>4327</v>
      </c>
      <c r="O55" s="14">
        <v>26718</v>
      </c>
      <c r="P55" s="2"/>
      <c r="Q55" s="1">
        <v>5813</v>
      </c>
      <c r="R55" s="1">
        <v>1097</v>
      </c>
      <c r="S55" s="1">
        <v>5591</v>
      </c>
      <c r="T55" s="1">
        <v>15499</v>
      </c>
      <c r="U55" s="2"/>
      <c r="V55" s="9">
        <v>4645</v>
      </c>
      <c r="W55" s="9">
        <v>4444</v>
      </c>
      <c r="X55" s="9">
        <v>7492</v>
      </c>
      <c r="Y55" s="9">
        <v>18161</v>
      </c>
      <c r="Z55" s="7"/>
    </row>
    <row r="56" spans="2:26">
      <c r="B56" s="1">
        <v>8490</v>
      </c>
      <c r="C56" s="1">
        <v>1149</v>
      </c>
      <c r="D56" s="1">
        <v>1897</v>
      </c>
      <c r="E56" s="1">
        <v>2956</v>
      </c>
      <c r="F56" s="2"/>
      <c r="G56" s="1">
        <v>61302</v>
      </c>
      <c r="H56" s="1">
        <v>688</v>
      </c>
      <c r="I56" s="1">
        <v>23635</v>
      </c>
      <c r="J56" s="1">
        <v>8464</v>
      </c>
      <c r="K56" s="2"/>
      <c r="L56" s="1">
        <v>4621</v>
      </c>
      <c r="M56" s="1">
        <v>2044</v>
      </c>
      <c r="N56" s="1">
        <v>3910</v>
      </c>
      <c r="O56" s="14">
        <v>12401</v>
      </c>
      <c r="P56" s="2"/>
      <c r="Q56" s="1">
        <v>5233</v>
      </c>
      <c r="R56" s="1">
        <v>1977</v>
      </c>
      <c r="S56" s="1">
        <v>5571</v>
      </c>
      <c r="T56" s="1">
        <v>16430</v>
      </c>
      <c r="U56" s="2"/>
      <c r="V56" s="9">
        <v>5268</v>
      </c>
      <c r="W56" s="9">
        <v>1110</v>
      </c>
      <c r="X56" s="9">
        <v>19695</v>
      </c>
      <c r="Y56" s="9">
        <v>49669</v>
      </c>
      <c r="Z56" s="7"/>
    </row>
    <row r="57" spans="2:26">
      <c r="B57" s="1">
        <v>4760</v>
      </c>
      <c r="C57" s="1">
        <v>1198</v>
      </c>
      <c r="D57" s="1">
        <v>1896</v>
      </c>
      <c r="E57" s="1">
        <v>3283</v>
      </c>
      <c r="F57" s="2"/>
      <c r="G57" s="1">
        <v>49554</v>
      </c>
      <c r="H57" s="1">
        <v>30141</v>
      </c>
      <c r="I57" s="1">
        <v>2522</v>
      </c>
      <c r="J57" s="1">
        <v>9274</v>
      </c>
      <c r="K57" s="2"/>
      <c r="L57" s="1">
        <v>4643</v>
      </c>
      <c r="M57" s="1">
        <v>5508</v>
      </c>
      <c r="N57" s="1">
        <v>20716</v>
      </c>
      <c r="O57" s="14">
        <v>11024</v>
      </c>
      <c r="P57" s="2"/>
      <c r="Q57" s="1">
        <v>5792</v>
      </c>
      <c r="R57" s="1">
        <v>942</v>
      </c>
      <c r="S57" s="1">
        <v>5459</v>
      </c>
      <c r="T57" s="1">
        <v>43394</v>
      </c>
      <c r="U57" s="2"/>
      <c r="V57" s="9">
        <v>56095</v>
      </c>
      <c r="W57" s="9">
        <v>1383</v>
      </c>
      <c r="X57" s="9">
        <v>6187</v>
      </c>
      <c r="Y57" s="9">
        <v>14949</v>
      </c>
      <c r="Z57" s="7"/>
    </row>
    <row r="58" spans="2:26">
      <c r="B58" s="1">
        <v>11951</v>
      </c>
      <c r="C58" s="1">
        <v>1038</v>
      </c>
      <c r="D58" s="1">
        <v>2007</v>
      </c>
      <c r="E58" s="1">
        <v>3586</v>
      </c>
      <c r="F58" s="2"/>
      <c r="G58" s="1">
        <v>41735</v>
      </c>
      <c r="H58" s="1">
        <v>6504</v>
      </c>
      <c r="I58" s="1">
        <v>2602</v>
      </c>
      <c r="J58" s="1">
        <v>8155</v>
      </c>
      <c r="K58" s="2"/>
      <c r="L58" s="1">
        <v>54098</v>
      </c>
      <c r="M58" s="1">
        <v>4704</v>
      </c>
      <c r="N58" s="1">
        <v>4831</v>
      </c>
      <c r="O58" s="14">
        <v>13747</v>
      </c>
      <c r="P58" s="2"/>
      <c r="Q58" s="1">
        <v>5341</v>
      </c>
      <c r="R58" s="1">
        <v>1478</v>
      </c>
      <c r="S58" s="1">
        <v>5352</v>
      </c>
      <c r="T58" s="1">
        <v>12662</v>
      </c>
      <c r="U58" s="2"/>
      <c r="V58" s="9">
        <v>5324</v>
      </c>
      <c r="W58" s="9">
        <v>6251</v>
      </c>
      <c r="X58" s="9">
        <v>6449</v>
      </c>
      <c r="Y58" s="9">
        <v>18124</v>
      </c>
      <c r="Z58" s="7"/>
    </row>
    <row r="59" spans="2:26">
      <c r="B59" s="1">
        <v>6744</v>
      </c>
      <c r="C59" s="1">
        <v>778</v>
      </c>
      <c r="D59" s="1">
        <v>1891</v>
      </c>
      <c r="E59" s="1">
        <v>3079</v>
      </c>
      <c r="F59" s="2"/>
      <c r="G59" s="1">
        <v>8411</v>
      </c>
      <c r="H59" s="1">
        <v>663</v>
      </c>
      <c r="I59" s="1">
        <v>2060</v>
      </c>
      <c r="J59" s="1">
        <v>7703</v>
      </c>
      <c r="K59" s="2"/>
      <c r="L59" s="1">
        <v>4598</v>
      </c>
      <c r="M59" s="1">
        <v>474</v>
      </c>
      <c r="N59" s="1">
        <v>13717</v>
      </c>
      <c r="O59" s="14">
        <v>13158</v>
      </c>
      <c r="P59" s="2"/>
      <c r="Q59" s="1">
        <v>5122</v>
      </c>
      <c r="R59" s="1">
        <v>5109</v>
      </c>
      <c r="S59" s="1">
        <v>6359</v>
      </c>
      <c r="T59" s="1">
        <v>13559</v>
      </c>
      <c r="U59" s="2"/>
      <c r="V59" s="9">
        <v>5094</v>
      </c>
      <c r="W59" s="9">
        <v>1058</v>
      </c>
      <c r="X59" s="9">
        <v>6549</v>
      </c>
      <c r="Y59" s="9">
        <v>47742</v>
      </c>
      <c r="Z59" s="7"/>
    </row>
    <row r="60" spans="2:26">
      <c r="B60" s="1">
        <v>4626</v>
      </c>
      <c r="C60" s="1">
        <v>733</v>
      </c>
      <c r="D60" s="1">
        <v>1978</v>
      </c>
      <c r="E60" s="1">
        <v>3118</v>
      </c>
      <c r="F60" s="2"/>
      <c r="G60" s="1">
        <v>52649</v>
      </c>
      <c r="H60" s="1">
        <v>1512</v>
      </c>
      <c r="I60" s="1">
        <v>25079</v>
      </c>
      <c r="J60" s="1">
        <v>8688</v>
      </c>
      <c r="K60" s="2"/>
      <c r="L60" s="1">
        <v>4613</v>
      </c>
      <c r="M60" s="1">
        <v>2587</v>
      </c>
      <c r="N60" s="1">
        <v>5670</v>
      </c>
      <c r="O60" s="14">
        <v>14705</v>
      </c>
      <c r="P60" s="2"/>
      <c r="Q60" s="1">
        <v>56606</v>
      </c>
      <c r="R60" s="1">
        <v>1444</v>
      </c>
      <c r="S60" s="1">
        <v>20282</v>
      </c>
      <c r="T60" s="1">
        <v>13331</v>
      </c>
      <c r="U60" s="2"/>
      <c r="V60" s="9">
        <v>50502</v>
      </c>
      <c r="W60" s="9">
        <v>1692</v>
      </c>
      <c r="X60" s="9">
        <v>6160</v>
      </c>
      <c r="Y60" s="9">
        <v>15404</v>
      </c>
      <c r="Z60" s="7"/>
    </row>
    <row r="61" spans="2:26">
      <c r="B61" s="1">
        <v>4372</v>
      </c>
      <c r="C61" s="1">
        <v>861</v>
      </c>
      <c r="D61" s="1">
        <v>1891</v>
      </c>
      <c r="E61" s="1">
        <v>3069</v>
      </c>
      <c r="F61" s="2"/>
      <c r="G61" s="1">
        <v>11377</v>
      </c>
      <c r="H61" s="1">
        <v>748</v>
      </c>
      <c r="I61" s="1">
        <v>6347</v>
      </c>
      <c r="J61" s="1">
        <v>8031</v>
      </c>
      <c r="K61" s="2"/>
      <c r="L61" s="1">
        <v>7673</v>
      </c>
      <c r="M61" s="1">
        <v>14866</v>
      </c>
      <c r="N61" s="1">
        <v>5413</v>
      </c>
      <c r="O61" s="14">
        <v>10546</v>
      </c>
      <c r="P61" s="2"/>
      <c r="Q61" s="1">
        <v>8401</v>
      </c>
      <c r="R61" s="1">
        <v>1154</v>
      </c>
      <c r="S61" s="1">
        <v>6108</v>
      </c>
      <c r="T61" s="1">
        <v>14026</v>
      </c>
      <c r="U61" s="2"/>
      <c r="V61" s="9">
        <v>58493</v>
      </c>
      <c r="W61" s="9">
        <v>3524</v>
      </c>
      <c r="X61" s="9">
        <v>15794</v>
      </c>
      <c r="Y61" s="9">
        <v>48715</v>
      </c>
      <c r="Z61" s="7"/>
    </row>
    <row r="62" spans="2:26">
      <c r="B62" s="1">
        <v>7472</v>
      </c>
      <c r="C62" s="1">
        <v>3114</v>
      </c>
      <c r="D62" s="1">
        <v>2046</v>
      </c>
      <c r="E62" s="1">
        <v>3161</v>
      </c>
      <c r="F62" s="2"/>
      <c r="G62" s="1">
        <v>11758</v>
      </c>
      <c r="H62" s="1">
        <v>5720</v>
      </c>
      <c r="I62" s="1">
        <v>1991</v>
      </c>
      <c r="J62" s="1">
        <v>8307</v>
      </c>
      <c r="K62" s="2"/>
      <c r="L62" s="1">
        <v>56966</v>
      </c>
      <c r="M62" s="1">
        <v>1852</v>
      </c>
      <c r="N62" s="1">
        <v>8599</v>
      </c>
      <c r="O62" s="14">
        <v>10716</v>
      </c>
      <c r="P62" s="2"/>
      <c r="Q62" s="1">
        <v>5791</v>
      </c>
      <c r="R62" s="1">
        <v>2630</v>
      </c>
      <c r="S62" s="1">
        <v>5747</v>
      </c>
      <c r="T62" s="1">
        <v>12186</v>
      </c>
      <c r="U62" s="2"/>
      <c r="V62" s="9">
        <v>4229</v>
      </c>
      <c r="W62" s="9">
        <v>844</v>
      </c>
      <c r="X62" s="9">
        <v>6526</v>
      </c>
      <c r="Y62" s="9">
        <v>45532</v>
      </c>
      <c r="Z62" s="7"/>
    </row>
    <row r="63" spans="2:26">
      <c r="B63" s="1">
        <v>4255</v>
      </c>
      <c r="C63" s="1">
        <v>716</v>
      </c>
      <c r="D63" s="1">
        <v>1903</v>
      </c>
      <c r="E63" s="1">
        <v>3173</v>
      </c>
      <c r="F63" s="2"/>
      <c r="G63" s="1">
        <v>53196</v>
      </c>
      <c r="H63" s="1">
        <v>3293</v>
      </c>
      <c r="I63" s="1">
        <v>2678</v>
      </c>
      <c r="J63" s="1">
        <v>10069</v>
      </c>
      <c r="K63" s="2"/>
      <c r="L63" s="1">
        <v>4627</v>
      </c>
      <c r="M63" s="1">
        <v>3655</v>
      </c>
      <c r="N63" s="1">
        <v>16457</v>
      </c>
      <c r="O63" s="14">
        <v>14349</v>
      </c>
      <c r="P63" s="2"/>
      <c r="Q63" s="1">
        <v>5245</v>
      </c>
      <c r="R63" s="1">
        <v>2838</v>
      </c>
      <c r="S63" s="1">
        <v>4639</v>
      </c>
      <c r="T63" s="1">
        <v>14952</v>
      </c>
      <c r="U63" s="2"/>
      <c r="V63" s="9">
        <v>53442</v>
      </c>
      <c r="W63" s="9">
        <v>2170</v>
      </c>
      <c r="X63" s="9">
        <v>6014</v>
      </c>
      <c r="Y63" s="9">
        <v>17035</v>
      </c>
      <c r="Z63" s="7"/>
    </row>
    <row r="64" spans="2:26">
      <c r="B64" s="1">
        <v>8544</v>
      </c>
      <c r="C64" s="1">
        <v>1066</v>
      </c>
      <c r="D64" s="1">
        <v>1893</v>
      </c>
      <c r="E64" s="1">
        <v>3223</v>
      </c>
      <c r="F64" s="2"/>
      <c r="G64" s="1">
        <v>45977</v>
      </c>
      <c r="H64" s="1">
        <v>657</v>
      </c>
      <c r="I64" s="1">
        <v>13017</v>
      </c>
      <c r="J64" s="1">
        <v>8182</v>
      </c>
      <c r="K64" s="2"/>
      <c r="L64" s="1">
        <v>8204</v>
      </c>
      <c r="M64" s="1">
        <v>1878</v>
      </c>
      <c r="N64" s="1">
        <v>8150</v>
      </c>
      <c r="O64" s="14">
        <v>13095</v>
      </c>
      <c r="P64" s="2"/>
      <c r="Q64" s="1">
        <v>53705</v>
      </c>
      <c r="R64" s="1">
        <v>1164</v>
      </c>
      <c r="S64" s="1">
        <v>5634</v>
      </c>
      <c r="T64" s="1">
        <v>40729</v>
      </c>
      <c r="U64" s="2"/>
      <c r="V64" s="9">
        <v>51338</v>
      </c>
      <c r="W64" s="9">
        <v>963</v>
      </c>
      <c r="X64" s="9">
        <v>6485</v>
      </c>
      <c r="Y64" s="9">
        <v>15722</v>
      </c>
      <c r="Z64" s="7"/>
    </row>
    <row r="65" spans="1:31">
      <c r="B65" s="1">
        <v>8117</v>
      </c>
      <c r="C65" s="1">
        <v>707</v>
      </c>
      <c r="D65" s="1">
        <v>1957</v>
      </c>
      <c r="E65" s="1">
        <v>3119</v>
      </c>
      <c r="F65" s="2"/>
      <c r="G65" s="1">
        <v>59124</v>
      </c>
      <c r="H65" s="1">
        <v>731</v>
      </c>
      <c r="I65" s="1">
        <v>26090</v>
      </c>
      <c r="J65" s="1">
        <v>8670</v>
      </c>
      <c r="K65" s="2"/>
      <c r="L65" s="1">
        <v>55180</v>
      </c>
      <c r="M65" s="1">
        <v>4494</v>
      </c>
      <c r="N65" s="1">
        <v>4919</v>
      </c>
      <c r="O65" s="14">
        <v>13916</v>
      </c>
      <c r="P65" s="2"/>
      <c r="Q65" s="1">
        <v>4585</v>
      </c>
      <c r="R65" s="1">
        <v>1295</v>
      </c>
      <c r="S65" s="1">
        <v>5756</v>
      </c>
      <c r="T65" s="1">
        <v>14628</v>
      </c>
      <c r="U65" s="2"/>
      <c r="V65" s="9">
        <v>55422</v>
      </c>
      <c r="W65" s="9">
        <v>1757</v>
      </c>
      <c r="X65" s="9">
        <v>6654</v>
      </c>
      <c r="Y65" s="9">
        <v>15780</v>
      </c>
      <c r="Z65" s="7"/>
    </row>
    <row r="66" spans="1:31">
      <c r="B66" s="1">
        <v>5844</v>
      </c>
      <c r="C66" s="1">
        <v>760</v>
      </c>
      <c r="D66" s="1">
        <v>1953</v>
      </c>
      <c r="E66" s="1">
        <v>3237</v>
      </c>
      <c r="F66" s="2"/>
      <c r="G66" s="1">
        <v>22961</v>
      </c>
      <c r="H66" s="1">
        <v>659</v>
      </c>
      <c r="I66" s="1">
        <v>9620</v>
      </c>
      <c r="J66" s="1">
        <v>8345</v>
      </c>
      <c r="K66" s="2"/>
      <c r="L66" s="1">
        <v>5986</v>
      </c>
      <c r="M66" s="1">
        <v>9476</v>
      </c>
      <c r="N66" s="1">
        <v>3086</v>
      </c>
      <c r="O66" s="14">
        <v>13507</v>
      </c>
      <c r="P66" s="2"/>
      <c r="Q66" s="1">
        <v>60350</v>
      </c>
      <c r="R66" s="1">
        <v>3495</v>
      </c>
      <c r="S66" s="1">
        <v>5334</v>
      </c>
      <c r="T66" s="1">
        <v>42621</v>
      </c>
      <c r="U66" s="2"/>
      <c r="V66" s="9">
        <v>54918</v>
      </c>
      <c r="W66" s="9">
        <v>1666</v>
      </c>
      <c r="X66" s="9">
        <v>6790</v>
      </c>
      <c r="Y66" s="9">
        <v>16393</v>
      </c>
      <c r="Z66" s="7"/>
    </row>
    <row r="67" spans="1:31">
      <c r="B67" s="1">
        <v>8982</v>
      </c>
      <c r="C67" s="1">
        <v>1113</v>
      </c>
      <c r="D67" s="1">
        <v>1900</v>
      </c>
      <c r="E67" s="1">
        <v>3022</v>
      </c>
      <c r="F67" s="2"/>
      <c r="G67" s="1">
        <v>4428</v>
      </c>
      <c r="H67" s="1">
        <v>733</v>
      </c>
      <c r="I67" s="1">
        <v>17307</v>
      </c>
      <c r="J67" s="1">
        <v>8337</v>
      </c>
      <c r="K67" s="2"/>
      <c r="L67" s="1">
        <v>5280</v>
      </c>
      <c r="M67" s="1">
        <v>886</v>
      </c>
      <c r="N67" s="1">
        <v>3240</v>
      </c>
      <c r="O67" s="14">
        <v>33440</v>
      </c>
      <c r="P67" s="2"/>
      <c r="Q67" s="1">
        <v>8004</v>
      </c>
      <c r="R67" s="1">
        <v>1439</v>
      </c>
      <c r="S67" s="1">
        <v>6044</v>
      </c>
      <c r="T67" s="1">
        <v>42371</v>
      </c>
      <c r="U67" s="2"/>
      <c r="V67" s="9">
        <v>5840</v>
      </c>
      <c r="W67" s="9">
        <v>1171</v>
      </c>
      <c r="X67" s="9">
        <v>6103</v>
      </c>
      <c r="Y67" s="9">
        <v>14067</v>
      </c>
      <c r="Z67" s="7"/>
    </row>
    <row r="68" spans="1:31">
      <c r="B68" s="1">
        <v>5233</v>
      </c>
      <c r="C68" s="1">
        <v>1025</v>
      </c>
      <c r="D68" s="1">
        <v>1953</v>
      </c>
      <c r="E68" s="1">
        <v>3036</v>
      </c>
      <c r="F68" s="2"/>
      <c r="G68" s="1">
        <v>4439</v>
      </c>
      <c r="H68" s="1">
        <v>656</v>
      </c>
      <c r="I68" s="1">
        <v>2271</v>
      </c>
      <c r="J68" s="1">
        <v>7222</v>
      </c>
      <c r="K68" s="2"/>
      <c r="L68" s="1">
        <v>5859</v>
      </c>
      <c r="M68" s="1">
        <v>425</v>
      </c>
      <c r="N68" s="1">
        <v>5484</v>
      </c>
      <c r="O68" s="2">
        <v>32012</v>
      </c>
      <c r="P68" s="2"/>
      <c r="Q68" s="1">
        <v>5177</v>
      </c>
      <c r="R68" s="1">
        <v>994</v>
      </c>
      <c r="S68" s="1">
        <v>8200</v>
      </c>
      <c r="T68" s="1">
        <v>12832</v>
      </c>
      <c r="U68" s="2"/>
      <c r="V68" s="9">
        <v>4616</v>
      </c>
      <c r="W68" s="9">
        <v>3762</v>
      </c>
      <c r="X68" s="9">
        <v>6235</v>
      </c>
      <c r="Y68" s="9">
        <v>15953</v>
      </c>
      <c r="Z68" s="7"/>
    </row>
    <row r="69" spans="1:31">
      <c r="B69" s="1">
        <v>4506</v>
      </c>
      <c r="C69" s="1">
        <v>1069</v>
      </c>
      <c r="D69" s="1">
        <v>1898</v>
      </c>
      <c r="E69" s="1">
        <v>3018</v>
      </c>
      <c r="F69" s="2"/>
      <c r="G69" s="1">
        <v>4039</v>
      </c>
      <c r="H69" s="1">
        <v>709</v>
      </c>
      <c r="I69" s="1">
        <v>2229</v>
      </c>
      <c r="J69" s="1">
        <v>11946</v>
      </c>
      <c r="K69" s="2"/>
      <c r="L69" s="1">
        <v>4343</v>
      </c>
      <c r="M69" s="1">
        <v>2848</v>
      </c>
      <c r="N69" s="1">
        <v>5715</v>
      </c>
      <c r="O69" s="14">
        <v>11570</v>
      </c>
      <c r="P69" s="2"/>
      <c r="Q69" s="1">
        <v>4842</v>
      </c>
      <c r="R69" s="1">
        <v>1831</v>
      </c>
      <c r="S69" s="1">
        <v>20108</v>
      </c>
      <c r="T69" s="1">
        <v>40632</v>
      </c>
      <c r="U69" s="2"/>
      <c r="V69" s="9">
        <v>5241</v>
      </c>
      <c r="W69" s="9">
        <v>1436</v>
      </c>
      <c r="X69" s="9">
        <v>6104</v>
      </c>
      <c r="Y69" s="9">
        <v>48624</v>
      </c>
      <c r="Z69" s="7"/>
    </row>
    <row r="70" spans="1:31">
      <c r="B70" s="1">
        <v>12267</v>
      </c>
      <c r="C70" s="1">
        <v>1002</v>
      </c>
      <c r="D70" s="1">
        <v>1948</v>
      </c>
      <c r="E70" s="1">
        <v>3577</v>
      </c>
      <c r="F70" s="2"/>
      <c r="G70" s="1">
        <v>4510</v>
      </c>
      <c r="H70" s="1">
        <v>3995</v>
      </c>
      <c r="I70" s="1">
        <v>1959</v>
      </c>
      <c r="J70" s="1">
        <v>8583</v>
      </c>
      <c r="K70" s="2"/>
      <c r="L70" s="1">
        <v>4279</v>
      </c>
      <c r="M70" s="1">
        <v>11377</v>
      </c>
      <c r="N70" s="1">
        <v>5893</v>
      </c>
      <c r="O70" s="14">
        <v>13350</v>
      </c>
      <c r="P70" s="2"/>
      <c r="Q70" s="1">
        <v>5649</v>
      </c>
      <c r="R70" s="1">
        <v>7167</v>
      </c>
      <c r="S70" s="1">
        <v>5792</v>
      </c>
      <c r="T70" s="1">
        <v>13189</v>
      </c>
      <c r="U70" s="2"/>
      <c r="V70" s="9">
        <v>4323</v>
      </c>
      <c r="W70" s="9">
        <v>1451</v>
      </c>
      <c r="X70" s="9">
        <v>7345</v>
      </c>
      <c r="Y70" s="9">
        <v>17403</v>
      </c>
      <c r="Z70" s="7"/>
    </row>
    <row r="71" spans="1:31">
      <c r="B71" s="23">
        <v>5157</v>
      </c>
      <c r="C71" s="23">
        <v>940</v>
      </c>
      <c r="D71" s="23">
        <v>1894</v>
      </c>
      <c r="E71" s="23">
        <v>3159</v>
      </c>
      <c r="F71" s="2"/>
      <c r="G71" s="23">
        <v>54487</v>
      </c>
      <c r="H71" s="23">
        <v>652</v>
      </c>
      <c r="I71" s="23">
        <v>2491</v>
      </c>
      <c r="J71" s="23">
        <v>8369</v>
      </c>
      <c r="K71" s="2"/>
      <c r="L71" s="23">
        <v>4336</v>
      </c>
      <c r="M71" s="23">
        <v>17106</v>
      </c>
      <c r="N71" s="23">
        <v>7618</v>
      </c>
      <c r="O71" s="24">
        <v>12934</v>
      </c>
      <c r="P71" s="2"/>
      <c r="Q71" s="23">
        <v>6180</v>
      </c>
      <c r="R71" s="23">
        <v>1104</v>
      </c>
      <c r="S71" s="23">
        <v>19188</v>
      </c>
      <c r="T71" s="23">
        <v>13183</v>
      </c>
      <c r="U71" s="2"/>
      <c r="V71" s="9">
        <v>4495</v>
      </c>
      <c r="W71" s="9">
        <v>1551</v>
      </c>
      <c r="X71" s="9">
        <v>7551</v>
      </c>
      <c r="Y71" s="9">
        <v>49321</v>
      </c>
      <c r="Z71" s="7"/>
    </row>
    <row r="72" spans="1:31">
      <c r="A72" s="6" t="s">
        <v>10</v>
      </c>
      <c r="B72" s="22">
        <f>AVERAGE(B42:B71)</f>
        <v>6334.4333333333334</v>
      </c>
      <c r="C72" s="22">
        <f>AVERAGE(C42:C71)</f>
        <v>1506.4666666666667</v>
      </c>
      <c r="D72" s="22">
        <v>1907</v>
      </c>
      <c r="E72" s="22">
        <f>AVERAGE(E42:E71)</f>
        <v>3184.3333333333335</v>
      </c>
      <c r="F72" s="2"/>
      <c r="G72" s="22">
        <f>AVERAGE(G42:G71)</f>
        <v>27133.733333333334</v>
      </c>
      <c r="H72" s="22">
        <f>AVERAGE(H42:H71)</f>
        <v>4336</v>
      </c>
      <c r="I72" s="22">
        <v>1078</v>
      </c>
      <c r="J72" s="22">
        <f>AVERAGE(J42:J71)</f>
        <v>8739.2666666666664</v>
      </c>
      <c r="K72" s="2"/>
      <c r="L72" s="22">
        <f>AVERAGE(L42:L71)</f>
        <v>15153.7</v>
      </c>
      <c r="M72" s="22">
        <f>AVERAGE(M42:M71)</f>
        <v>8065</v>
      </c>
      <c r="N72" s="22">
        <v>674</v>
      </c>
      <c r="O72" s="22">
        <f>AVERAGE(O42:O71)</f>
        <v>19000.233333333334</v>
      </c>
      <c r="P72" s="2"/>
      <c r="Q72" s="22">
        <f>AVERAGE(Q42:Q71)</f>
        <v>19429.466666666667</v>
      </c>
      <c r="R72" s="22">
        <f>AVERAGE(R42:R71)</f>
        <v>5557.4666666666662</v>
      </c>
      <c r="S72" s="22">
        <v>707</v>
      </c>
      <c r="T72" s="22">
        <f>AVERAGE(T42:T71)</f>
        <v>23081.433333333334</v>
      </c>
      <c r="U72" s="2"/>
      <c r="V72" s="11">
        <f>AVERAGE(V42:V71)</f>
        <v>24563.7</v>
      </c>
      <c r="W72" s="11">
        <f>AVERAGE(W42:W71)</f>
        <v>1994</v>
      </c>
      <c r="X72" s="11">
        <f>AVERAGE(X42:X71)</f>
        <v>8728.7000000000007</v>
      </c>
      <c r="Y72" s="11">
        <f>AVERAGE(Y42:Y71)</f>
        <v>25875.9</v>
      </c>
      <c r="Z72" s="7"/>
    </row>
    <row r="73" spans="1:3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7"/>
      <c r="W73" s="7"/>
      <c r="X73" s="7"/>
      <c r="Y73" s="7"/>
      <c r="Z73" s="7"/>
    </row>
    <row r="74" spans="1:31" ht="15.75" thickBot="1">
      <c r="V74" s="7"/>
      <c r="W74" s="7"/>
      <c r="X74" s="7"/>
      <c r="Y74" s="7"/>
      <c r="Z74" s="7"/>
    </row>
    <row r="75" spans="1:31" s="7" customFormat="1" ht="16.5" customHeight="1" thickBot="1">
      <c r="B75" s="66" t="s">
        <v>41</v>
      </c>
      <c r="C75" s="67"/>
      <c r="D75" s="67"/>
      <c r="E75" s="68"/>
      <c r="G75" s="66" t="s">
        <v>41</v>
      </c>
      <c r="H75" s="67"/>
      <c r="I75" s="67"/>
      <c r="J75" s="68"/>
      <c r="L75" s="66" t="s">
        <v>41</v>
      </c>
      <c r="M75" s="67"/>
      <c r="N75" s="67"/>
      <c r="O75" s="68"/>
      <c r="Q75" s="66" t="s">
        <v>41</v>
      </c>
      <c r="R75" s="67"/>
      <c r="S75" s="67"/>
      <c r="T75" s="68"/>
      <c r="V75" s="66" t="s">
        <v>41</v>
      </c>
      <c r="W75" s="67"/>
      <c r="X75" s="67"/>
      <c r="Y75" s="68"/>
      <c r="AA75" s="20"/>
      <c r="AB75" s="20"/>
      <c r="AC75" s="20"/>
      <c r="AD75" s="20"/>
      <c r="AE75" s="20"/>
    </row>
    <row r="76" spans="1:31" s="7" customFormat="1" ht="13.5" customHeight="1" thickBot="1">
      <c r="B76" s="63" t="s">
        <v>16</v>
      </c>
      <c r="C76" s="64"/>
      <c r="D76" s="64"/>
      <c r="E76" s="65"/>
      <c r="G76" s="59" t="s">
        <v>17</v>
      </c>
      <c r="H76" s="59"/>
      <c r="I76" s="59"/>
      <c r="J76" s="59"/>
      <c r="L76" s="59" t="s">
        <v>18</v>
      </c>
      <c r="M76" s="59"/>
      <c r="N76" s="59"/>
      <c r="O76" s="59"/>
      <c r="Q76" s="59" t="s">
        <v>19</v>
      </c>
      <c r="R76" s="59"/>
      <c r="S76" s="59"/>
      <c r="T76" s="59"/>
      <c r="V76" s="59" t="s">
        <v>20</v>
      </c>
      <c r="W76" s="59"/>
      <c r="X76" s="59"/>
      <c r="Y76" s="59"/>
      <c r="AA76" s="21"/>
      <c r="AB76" s="21"/>
      <c r="AC76" s="21"/>
      <c r="AD76" s="21"/>
      <c r="AE76" s="21"/>
    </row>
    <row r="77" spans="1:31" s="7" customFormat="1" ht="45.75" thickBot="1">
      <c r="B77" s="28" t="s">
        <v>6</v>
      </c>
      <c r="C77" s="44" t="s">
        <v>7</v>
      </c>
      <c r="D77" s="45" t="s">
        <v>8</v>
      </c>
      <c r="E77" s="43" t="s">
        <v>9</v>
      </c>
      <c r="G77" s="28" t="s">
        <v>6</v>
      </c>
      <c r="H77" s="44" t="s">
        <v>7</v>
      </c>
      <c r="I77" s="45" t="s">
        <v>8</v>
      </c>
      <c r="J77" s="43" t="s">
        <v>9</v>
      </c>
      <c r="L77" s="28" t="s">
        <v>6</v>
      </c>
      <c r="M77" s="44" t="s">
        <v>7</v>
      </c>
      <c r="N77" s="45" t="s">
        <v>8</v>
      </c>
      <c r="O77" s="43" t="s">
        <v>9</v>
      </c>
      <c r="Q77" s="28" t="s">
        <v>6</v>
      </c>
      <c r="R77" s="44" t="s">
        <v>7</v>
      </c>
      <c r="S77" s="45" t="s">
        <v>8</v>
      </c>
      <c r="T77" s="43" t="s">
        <v>9</v>
      </c>
      <c r="V77" s="28" t="s">
        <v>6</v>
      </c>
      <c r="W77" s="44" t="s">
        <v>7</v>
      </c>
      <c r="X77" s="43" t="s">
        <v>8</v>
      </c>
      <c r="Y77" s="43" t="s">
        <v>9</v>
      </c>
    </row>
    <row r="78" spans="1:31">
      <c r="B78" s="1">
        <v>527828</v>
      </c>
      <c r="C78" s="1">
        <v>128922</v>
      </c>
      <c r="D78" s="1">
        <v>248085</v>
      </c>
      <c r="E78" s="1">
        <v>402993</v>
      </c>
      <c r="F78" s="2"/>
      <c r="G78" s="1">
        <v>521031</v>
      </c>
      <c r="H78" s="1">
        <v>162582</v>
      </c>
      <c r="I78" s="1">
        <v>321562</v>
      </c>
      <c r="J78" s="1">
        <v>1118231</v>
      </c>
      <c r="K78" s="2"/>
      <c r="L78" s="1">
        <v>6879929</v>
      </c>
      <c r="M78" s="1">
        <v>138674</v>
      </c>
      <c r="N78" s="1">
        <v>401397</v>
      </c>
      <c r="O78" s="14">
        <v>1434722</v>
      </c>
      <c r="P78" s="2"/>
      <c r="Q78" s="1">
        <v>540340</v>
      </c>
      <c r="R78" s="1">
        <v>88045</v>
      </c>
      <c r="S78" s="1">
        <v>524356</v>
      </c>
      <c r="T78" s="1">
        <v>3281503</v>
      </c>
      <c r="U78" s="2"/>
      <c r="V78" s="9">
        <v>536241</v>
      </c>
      <c r="W78" s="9">
        <v>109592</v>
      </c>
      <c r="X78" s="9">
        <v>542096</v>
      </c>
      <c r="Y78" s="9">
        <v>5995607</v>
      </c>
      <c r="Z78" s="7"/>
    </row>
    <row r="79" spans="1:31">
      <c r="B79" s="1">
        <v>511297</v>
      </c>
      <c r="C79" s="1">
        <v>153156</v>
      </c>
      <c r="D79" s="1">
        <v>243966</v>
      </c>
      <c r="E79" s="1">
        <v>398860</v>
      </c>
      <c r="F79" s="2"/>
      <c r="G79" s="1">
        <v>534864</v>
      </c>
      <c r="H79" s="1">
        <v>141747</v>
      </c>
      <c r="I79" s="1">
        <v>371024</v>
      </c>
      <c r="J79" s="1">
        <v>1041156</v>
      </c>
      <c r="K79" s="2"/>
      <c r="L79" s="1">
        <v>6860571</v>
      </c>
      <c r="M79" s="1">
        <v>120365</v>
      </c>
      <c r="N79" s="1">
        <v>373664</v>
      </c>
      <c r="O79" s="14">
        <v>1751810</v>
      </c>
      <c r="P79" s="2"/>
      <c r="Q79" s="1">
        <v>5879543</v>
      </c>
      <c r="R79" s="1">
        <v>160287</v>
      </c>
      <c r="S79" s="1">
        <v>507362</v>
      </c>
      <c r="T79" s="1">
        <v>1667951</v>
      </c>
      <c r="U79" s="2"/>
      <c r="V79" s="9">
        <v>528292</v>
      </c>
      <c r="W79" s="9">
        <v>150452</v>
      </c>
      <c r="X79" s="9">
        <v>2201564</v>
      </c>
      <c r="Y79" s="9">
        <v>1795648</v>
      </c>
      <c r="Z79" s="7"/>
    </row>
    <row r="80" spans="1:31">
      <c r="B80" s="1">
        <v>540376</v>
      </c>
      <c r="C80" s="1">
        <v>170462</v>
      </c>
      <c r="D80" s="1">
        <v>253077</v>
      </c>
      <c r="E80" s="1">
        <v>386500</v>
      </c>
      <c r="F80" s="2"/>
      <c r="G80" s="1">
        <v>491258</v>
      </c>
      <c r="H80" s="1">
        <v>115133</v>
      </c>
      <c r="I80" s="1">
        <v>2294014</v>
      </c>
      <c r="J80" s="1">
        <v>1054565</v>
      </c>
      <c r="K80" s="2"/>
      <c r="L80" s="1">
        <v>6807297</v>
      </c>
      <c r="M80" s="1">
        <v>168035</v>
      </c>
      <c r="N80" s="1">
        <v>377708</v>
      </c>
      <c r="O80" s="14">
        <v>4473720</v>
      </c>
      <c r="P80" s="2"/>
      <c r="Q80" s="1">
        <v>563602</v>
      </c>
      <c r="R80" s="1">
        <v>122644</v>
      </c>
      <c r="S80" s="1">
        <v>445277</v>
      </c>
      <c r="T80" s="1">
        <v>5545645</v>
      </c>
      <c r="U80" s="2"/>
      <c r="V80" s="9">
        <v>513122</v>
      </c>
      <c r="W80" s="9">
        <v>108686</v>
      </c>
      <c r="X80" s="9">
        <v>528342</v>
      </c>
      <c r="Y80" s="9">
        <v>1767099</v>
      </c>
      <c r="Z80" s="7"/>
    </row>
    <row r="81" spans="2:26">
      <c r="B81" s="1">
        <v>526719</v>
      </c>
      <c r="C81" s="1">
        <v>161257</v>
      </c>
      <c r="D81" s="1">
        <v>242695</v>
      </c>
      <c r="E81" s="1">
        <v>399880</v>
      </c>
      <c r="F81" s="2"/>
      <c r="G81" s="1">
        <v>598578</v>
      </c>
      <c r="H81" s="1">
        <v>163288</v>
      </c>
      <c r="I81" s="1">
        <v>278795</v>
      </c>
      <c r="J81" s="1">
        <v>1020494</v>
      </c>
      <c r="K81" s="2"/>
      <c r="L81" s="1">
        <v>500398</v>
      </c>
      <c r="M81" s="1">
        <v>116892</v>
      </c>
      <c r="N81" s="1">
        <v>354106</v>
      </c>
      <c r="O81" s="14">
        <v>1391377</v>
      </c>
      <c r="P81" s="2"/>
      <c r="Q81" s="1">
        <v>551964</v>
      </c>
      <c r="R81" s="1">
        <v>134547</v>
      </c>
      <c r="S81" s="1">
        <v>2318598</v>
      </c>
      <c r="T81" s="1">
        <v>1806390</v>
      </c>
      <c r="U81" s="2"/>
      <c r="V81" s="9">
        <v>501707</v>
      </c>
      <c r="W81" s="9">
        <v>98182</v>
      </c>
      <c r="X81" s="9">
        <v>595022</v>
      </c>
      <c r="Y81" s="9">
        <v>1780800</v>
      </c>
      <c r="Z81" s="7"/>
    </row>
    <row r="82" spans="2:26">
      <c r="B82" s="1">
        <v>528273</v>
      </c>
      <c r="C82" s="1">
        <v>167682</v>
      </c>
      <c r="D82" s="1">
        <v>242531</v>
      </c>
      <c r="E82" s="1">
        <v>404683</v>
      </c>
      <c r="F82" s="2"/>
      <c r="G82" s="1">
        <v>557229</v>
      </c>
      <c r="H82" s="1">
        <v>137036</v>
      </c>
      <c r="I82" s="1">
        <v>375190</v>
      </c>
      <c r="J82" s="1">
        <v>1461747</v>
      </c>
      <c r="K82" s="2"/>
      <c r="L82" s="1">
        <v>529335</v>
      </c>
      <c r="M82" s="1">
        <v>199594</v>
      </c>
      <c r="N82" s="1">
        <v>1974172</v>
      </c>
      <c r="O82" s="14">
        <v>1459687</v>
      </c>
      <c r="P82" s="2"/>
      <c r="Q82" s="1">
        <v>505630</v>
      </c>
      <c r="R82" s="1">
        <v>159759</v>
      </c>
      <c r="S82" s="1">
        <v>515608</v>
      </c>
      <c r="T82" s="1">
        <v>1825107</v>
      </c>
      <c r="U82" s="2"/>
      <c r="V82" s="9">
        <v>536342</v>
      </c>
      <c r="W82" s="9">
        <v>158278</v>
      </c>
      <c r="X82" s="9">
        <v>547950</v>
      </c>
      <c r="Y82" s="9">
        <v>1773589</v>
      </c>
      <c r="Z82" s="7"/>
    </row>
    <row r="83" spans="2:26">
      <c r="B83" s="1">
        <v>540567</v>
      </c>
      <c r="C83" s="1">
        <v>196732</v>
      </c>
      <c r="D83" s="1">
        <v>251915</v>
      </c>
      <c r="E83" s="1">
        <v>456908</v>
      </c>
      <c r="F83" s="2"/>
      <c r="G83" s="1">
        <v>531603</v>
      </c>
      <c r="H83" s="1">
        <v>150842</v>
      </c>
      <c r="I83" s="1">
        <v>325279</v>
      </c>
      <c r="J83" s="1">
        <v>1476382</v>
      </c>
      <c r="K83" s="2"/>
      <c r="L83" s="1">
        <v>550161</v>
      </c>
      <c r="M83" s="1">
        <v>134521</v>
      </c>
      <c r="N83" s="1">
        <v>378033</v>
      </c>
      <c r="O83" s="14">
        <v>1561606</v>
      </c>
      <c r="P83" s="2"/>
      <c r="Q83" s="1">
        <v>527825</v>
      </c>
      <c r="R83" s="1">
        <v>135509</v>
      </c>
      <c r="S83" s="1">
        <v>971509</v>
      </c>
      <c r="T83" s="1">
        <v>5466789</v>
      </c>
      <c r="U83" s="2"/>
      <c r="V83" s="9">
        <v>559448</v>
      </c>
      <c r="W83" s="9">
        <v>147782</v>
      </c>
      <c r="X83" s="9">
        <v>575575</v>
      </c>
      <c r="Y83" s="9">
        <v>3824290</v>
      </c>
      <c r="Z83" s="7"/>
    </row>
    <row r="84" spans="2:26">
      <c r="B84" s="1">
        <v>527033</v>
      </c>
      <c r="C84" s="1">
        <v>188440</v>
      </c>
      <c r="D84" s="1">
        <v>245426</v>
      </c>
      <c r="E84" s="1">
        <v>403709</v>
      </c>
      <c r="F84" s="2"/>
      <c r="G84" s="1">
        <v>526224</v>
      </c>
      <c r="H84" s="1">
        <v>137313</v>
      </c>
      <c r="I84" s="1">
        <v>2230915</v>
      </c>
      <c r="J84" s="1">
        <v>1049462</v>
      </c>
      <c r="K84" s="2"/>
      <c r="L84" s="1">
        <v>6444697</v>
      </c>
      <c r="M84" s="1">
        <v>170988</v>
      </c>
      <c r="N84" s="1">
        <v>429843</v>
      </c>
      <c r="O84" s="14">
        <v>1512262</v>
      </c>
      <c r="P84" s="2"/>
      <c r="Q84" s="1">
        <v>530550</v>
      </c>
      <c r="R84" s="1">
        <v>158271</v>
      </c>
      <c r="S84" s="1">
        <v>525912</v>
      </c>
      <c r="T84" s="1">
        <v>1672141</v>
      </c>
      <c r="U84" s="2"/>
      <c r="V84" s="9">
        <v>528899</v>
      </c>
      <c r="W84" s="9">
        <v>71444</v>
      </c>
      <c r="X84" s="9">
        <v>2223715</v>
      </c>
      <c r="Y84" s="9">
        <v>1808359</v>
      </c>
      <c r="Z84" s="7"/>
    </row>
    <row r="85" spans="2:26">
      <c r="B85" s="1">
        <v>525598</v>
      </c>
      <c r="C85" s="1">
        <v>169628</v>
      </c>
      <c r="D85" s="1">
        <v>244756</v>
      </c>
      <c r="E85" s="1">
        <v>431788</v>
      </c>
      <c r="F85" s="2"/>
      <c r="G85" s="1">
        <v>6927829</v>
      </c>
      <c r="H85" s="1">
        <v>147207</v>
      </c>
      <c r="I85" s="1">
        <v>344311</v>
      </c>
      <c r="J85" s="1">
        <v>1374881</v>
      </c>
      <c r="K85" s="2"/>
      <c r="L85" s="1">
        <v>522014</v>
      </c>
      <c r="M85" s="1">
        <v>107697</v>
      </c>
      <c r="N85" s="1">
        <v>437291</v>
      </c>
      <c r="O85" s="14">
        <v>1406718</v>
      </c>
      <c r="P85" s="2"/>
      <c r="Q85" s="1">
        <v>6774859</v>
      </c>
      <c r="R85" s="1">
        <v>216838</v>
      </c>
      <c r="S85" s="1">
        <v>532029</v>
      </c>
      <c r="T85" s="1">
        <v>5346075</v>
      </c>
      <c r="U85" s="2"/>
      <c r="V85" s="9">
        <v>6663040</v>
      </c>
      <c r="W85" s="9">
        <v>178991</v>
      </c>
      <c r="X85" s="9">
        <v>581596</v>
      </c>
      <c r="Y85" s="9">
        <v>1841065</v>
      </c>
      <c r="Z85" s="7"/>
    </row>
    <row r="86" spans="2:26">
      <c r="B86" s="1">
        <v>548451</v>
      </c>
      <c r="C86" s="1">
        <v>168049</v>
      </c>
      <c r="D86" s="1">
        <v>242885</v>
      </c>
      <c r="E86" s="1">
        <v>405767</v>
      </c>
      <c r="F86" s="2"/>
      <c r="G86" s="1">
        <v>546165</v>
      </c>
      <c r="H86" s="1">
        <v>100463</v>
      </c>
      <c r="I86" s="1">
        <v>381901</v>
      </c>
      <c r="J86" s="1">
        <v>1026280</v>
      </c>
      <c r="K86" s="2"/>
      <c r="L86" s="1">
        <v>7169736</v>
      </c>
      <c r="M86" s="1">
        <v>214433</v>
      </c>
      <c r="N86" s="1">
        <v>408647</v>
      </c>
      <c r="O86" s="14">
        <v>1438917</v>
      </c>
      <c r="P86" s="2"/>
      <c r="Q86" s="1">
        <v>551032</v>
      </c>
      <c r="R86" s="1">
        <v>159042</v>
      </c>
      <c r="S86" s="1">
        <v>513198</v>
      </c>
      <c r="T86" s="1">
        <v>1650827</v>
      </c>
      <c r="U86" s="2"/>
      <c r="V86" s="9">
        <v>533030</v>
      </c>
      <c r="W86" s="9">
        <v>127127</v>
      </c>
      <c r="X86" s="9">
        <v>509021</v>
      </c>
      <c r="Y86" s="9">
        <v>1831991</v>
      </c>
      <c r="Z86" s="7"/>
    </row>
    <row r="87" spans="2:26">
      <c r="B87" s="1">
        <v>535298</v>
      </c>
      <c r="C87" s="1">
        <v>137324</v>
      </c>
      <c r="D87" s="1">
        <v>249734</v>
      </c>
      <c r="E87" s="1">
        <v>398765</v>
      </c>
      <c r="F87" s="2"/>
      <c r="G87" s="1">
        <v>513964</v>
      </c>
      <c r="H87" s="1">
        <v>177722</v>
      </c>
      <c r="I87" s="1">
        <v>333187</v>
      </c>
      <c r="J87" s="1">
        <v>1319338</v>
      </c>
      <c r="K87" s="2"/>
      <c r="L87" s="1">
        <v>544591</v>
      </c>
      <c r="M87" s="1">
        <v>131097</v>
      </c>
      <c r="N87" s="1">
        <v>2254782</v>
      </c>
      <c r="O87" s="14">
        <v>1478468</v>
      </c>
      <c r="P87" s="2"/>
      <c r="Q87" s="1">
        <v>537370</v>
      </c>
      <c r="R87" s="1">
        <v>79802</v>
      </c>
      <c r="S87" s="1">
        <v>518431</v>
      </c>
      <c r="T87" s="1">
        <v>1640792</v>
      </c>
      <c r="U87" s="2"/>
      <c r="V87" s="9">
        <v>530630</v>
      </c>
      <c r="W87" s="9">
        <v>133480</v>
      </c>
      <c r="X87" s="9">
        <v>2206953</v>
      </c>
      <c r="Y87" s="9">
        <v>1808587</v>
      </c>
      <c r="Z87" s="7"/>
    </row>
    <row r="88" spans="2:26">
      <c r="B88" s="1">
        <v>531399</v>
      </c>
      <c r="C88" s="1">
        <v>173650</v>
      </c>
      <c r="D88" s="1">
        <v>247540</v>
      </c>
      <c r="E88" s="1">
        <v>388069</v>
      </c>
      <c r="F88" s="2"/>
      <c r="G88" s="1">
        <v>551263</v>
      </c>
      <c r="H88" s="1">
        <v>154461</v>
      </c>
      <c r="I88" s="1">
        <v>333583</v>
      </c>
      <c r="J88" s="1">
        <v>1360106</v>
      </c>
      <c r="K88" s="2"/>
      <c r="L88" s="1">
        <v>519891</v>
      </c>
      <c r="M88" s="1">
        <v>108233</v>
      </c>
      <c r="N88" s="1">
        <v>368696</v>
      </c>
      <c r="O88" s="14">
        <v>3996266</v>
      </c>
      <c r="P88" s="2"/>
      <c r="Q88" s="1">
        <v>536940</v>
      </c>
      <c r="R88" s="1">
        <v>133604</v>
      </c>
      <c r="S88" s="1">
        <v>521946</v>
      </c>
      <c r="T88" s="1">
        <v>3092299</v>
      </c>
      <c r="U88" s="2"/>
      <c r="V88" s="9">
        <v>508976</v>
      </c>
      <c r="W88" s="9">
        <v>120823</v>
      </c>
      <c r="X88" s="9">
        <v>540431</v>
      </c>
      <c r="Y88" s="9">
        <v>1816037</v>
      </c>
      <c r="Z88" s="7"/>
    </row>
    <row r="89" spans="2:26">
      <c r="B89" s="1">
        <v>525968</v>
      </c>
      <c r="C89" s="1">
        <v>158658</v>
      </c>
      <c r="D89" s="1">
        <v>252351</v>
      </c>
      <c r="E89" s="1">
        <v>384160</v>
      </c>
      <c r="F89" s="2"/>
      <c r="G89" s="1">
        <v>500547</v>
      </c>
      <c r="H89" s="1">
        <v>170468</v>
      </c>
      <c r="I89" s="1">
        <v>316743</v>
      </c>
      <c r="J89" s="1">
        <v>1070320</v>
      </c>
      <c r="K89" s="2"/>
      <c r="L89" s="1">
        <v>513036</v>
      </c>
      <c r="M89" s="1">
        <v>104505</v>
      </c>
      <c r="N89" s="1">
        <v>394963</v>
      </c>
      <c r="O89" s="14">
        <v>1374435</v>
      </c>
      <c r="P89" s="2"/>
      <c r="Q89" s="1">
        <v>536724</v>
      </c>
      <c r="R89" s="1">
        <v>121653</v>
      </c>
      <c r="S89" s="1">
        <v>505003</v>
      </c>
      <c r="T89" s="1">
        <v>1698173</v>
      </c>
      <c r="U89" s="2"/>
      <c r="V89" s="9">
        <v>507817</v>
      </c>
      <c r="W89" s="9">
        <v>125771</v>
      </c>
      <c r="X89" s="9">
        <v>2237756</v>
      </c>
      <c r="Y89" s="9">
        <v>1812225</v>
      </c>
      <c r="Z89" s="7"/>
    </row>
    <row r="90" spans="2:26">
      <c r="B90" s="1">
        <v>524901</v>
      </c>
      <c r="C90" s="1">
        <v>143780</v>
      </c>
      <c r="D90" s="1">
        <v>243805</v>
      </c>
      <c r="E90" s="1">
        <v>427366</v>
      </c>
      <c r="F90" s="2"/>
      <c r="G90" s="1">
        <v>521869</v>
      </c>
      <c r="H90" s="1">
        <v>221181</v>
      </c>
      <c r="I90" s="1">
        <v>350009</v>
      </c>
      <c r="J90" s="1">
        <v>1060058</v>
      </c>
      <c r="K90" s="2"/>
      <c r="L90" s="1">
        <v>551059</v>
      </c>
      <c r="M90" s="1">
        <v>176366</v>
      </c>
      <c r="N90" s="1">
        <v>2210309</v>
      </c>
      <c r="O90" s="14">
        <v>1528727</v>
      </c>
      <c r="P90" s="2"/>
      <c r="Q90" s="1">
        <v>546117</v>
      </c>
      <c r="R90" s="1">
        <v>143288</v>
      </c>
      <c r="S90" s="1">
        <v>463746</v>
      </c>
      <c r="T90" s="1">
        <v>1679848</v>
      </c>
      <c r="U90" s="2"/>
      <c r="V90" s="9">
        <v>6478693</v>
      </c>
      <c r="W90" s="9">
        <v>169740</v>
      </c>
      <c r="X90" s="9">
        <v>1062847</v>
      </c>
      <c r="Y90" s="9">
        <v>6021830</v>
      </c>
      <c r="Z90" s="7"/>
    </row>
    <row r="91" spans="2:26">
      <c r="B91" s="1">
        <v>525438</v>
      </c>
      <c r="C91" s="1">
        <v>151536</v>
      </c>
      <c r="D91" s="1">
        <v>254159</v>
      </c>
      <c r="E91" s="1">
        <v>390051</v>
      </c>
      <c r="F91" s="2"/>
      <c r="G91" s="1">
        <v>7152591</v>
      </c>
      <c r="H91" s="1">
        <v>124474</v>
      </c>
      <c r="I91" s="1">
        <v>367349</v>
      </c>
      <c r="J91" s="1">
        <v>1067033</v>
      </c>
      <c r="K91" s="2"/>
      <c r="L91" s="1">
        <v>539930</v>
      </c>
      <c r="M91" s="1">
        <v>173614</v>
      </c>
      <c r="N91" s="1">
        <v>366702</v>
      </c>
      <c r="O91" s="14">
        <v>-713174</v>
      </c>
      <c r="P91" s="2"/>
      <c r="Q91" s="1">
        <v>539647</v>
      </c>
      <c r="R91" s="1">
        <v>107929</v>
      </c>
      <c r="S91" s="1">
        <v>518261</v>
      </c>
      <c r="T91" s="1">
        <v>5306619</v>
      </c>
      <c r="U91" s="2"/>
      <c r="V91" s="9">
        <v>513218</v>
      </c>
      <c r="W91" s="9">
        <v>167270</v>
      </c>
      <c r="X91" s="9">
        <v>536760</v>
      </c>
      <c r="Y91" s="9">
        <v>6144928</v>
      </c>
      <c r="Z91" s="7"/>
    </row>
    <row r="92" spans="2:26">
      <c r="B92" s="1">
        <v>539002</v>
      </c>
      <c r="C92" s="1">
        <v>173189</v>
      </c>
      <c r="D92" s="1">
        <v>244092</v>
      </c>
      <c r="E92" s="1">
        <v>390317</v>
      </c>
      <c r="F92" s="2"/>
      <c r="G92" s="1">
        <v>6422370</v>
      </c>
      <c r="H92" s="1">
        <v>115422</v>
      </c>
      <c r="I92" s="1">
        <v>1772188</v>
      </c>
      <c r="J92" s="1">
        <v>1035745</v>
      </c>
      <c r="K92" s="2"/>
      <c r="L92" s="1">
        <v>6744992</v>
      </c>
      <c r="M92" s="1">
        <v>106126</v>
      </c>
      <c r="N92" s="1">
        <v>433332</v>
      </c>
      <c r="O92" s="14">
        <v>1470592</v>
      </c>
      <c r="P92" s="2"/>
      <c r="Q92" s="1">
        <v>530984</v>
      </c>
      <c r="R92" s="1">
        <v>149319</v>
      </c>
      <c r="S92" s="1">
        <v>2334129</v>
      </c>
      <c r="T92" s="1">
        <v>1651780</v>
      </c>
      <c r="U92" s="2"/>
      <c r="V92" s="9">
        <v>543647</v>
      </c>
      <c r="W92" s="9">
        <v>144062</v>
      </c>
      <c r="X92" s="9">
        <v>2173161</v>
      </c>
      <c r="Y92" s="9">
        <v>1896337</v>
      </c>
      <c r="Z92" s="7"/>
    </row>
    <row r="93" spans="2:26">
      <c r="B93" s="1">
        <v>539266</v>
      </c>
      <c r="C93" s="1">
        <v>141878</v>
      </c>
      <c r="D93" s="1">
        <v>243951</v>
      </c>
      <c r="E93" s="1">
        <v>436482</v>
      </c>
      <c r="F93" s="2"/>
      <c r="G93" s="1">
        <v>498550</v>
      </c>
      <c r="H93" s="1">
        <v>155707</v>
      </c>
      <c r="I93" s="1">
        <v>1951303</v>
      </c>
      <c r="J93" s="1">
        <v>1029859</v>
      </c>
      <c r="K93" s="2"/>
      <c r="L93" s="1">
        <v>6049582</v>
      </c>
      <c r="M93" s="1">
        <v>244132</v>
      </c>
      <c r="N93" s="1">
        <v>2258275</v>
      </c>
      <c r="O93" s="14">
        <v>1390760</v>
      </c>
      <c r="P93" s="2"/>
      <c r="Q93" s="1">
        <v>532599</v>
      </c>
      <c r="R93" s="1">
        <v>92080</v>
      </c>
      <c r="S93" s="1">
        <v>492595</v>
      </c>
      <c r="T93" s="1">
        <v>1680776</v>
      </c>
      <c r="U93" s="2"/>
      <c r="V93" s="9">
        <v>533325</v>
      </c>
      <c r="W93" s="9">
        <v>134567</v>
      </c>
      <c r="X93" s="9">
        <v>543837</v>
      </c>
      <c r="Y93" s="9">
        <v>1790651</v>
      </c>
      <c r="Z93" s="7"/>
    </row>
    <row r="94" spans="2:26">
      <c r="B94" s="1">
        <v>525462</v>
      </c>
      <c r="C94" s="1">
        <v>149554</v>
      </c>
      <c r="D94" s="1">
        <v>242487</v>
      </c>
      <c r="E94" s="1">
        <v>408769</v>
      </c>
      <c r="F94" s="2"/>
      <c r="G94" s="1">
        <v>481380</v>
      </c>
      <c r="H94" s="1">
        <v>178805</v>
      </c>
      <c r="I94" s="1">
        <v>323271</v>
      </c>
      <c r="J94" s="1">
        <v>1043447</v>
      </c>
      <c r="K94" s="2"/>
      <c r="L94" s="1">
        <v>540641</v>
      </c>
      <c r="M94" s="1">
        <v>118843</v>
      </c>
      <c r="N94" s="1">
        <v>370518</v>
      </c>
      <c r="O94" s="14">
        <v>1414742</v>
      </c>
      <c r="P94" s="2"/>
      <c r="Q94" s="1">
        <v>526374</v>
      </c>
      <c r="R94" s="1">
        <v>143552</v>
      </c>
      <c r="S94" s="1">
        <v>483696</v>
      </c>
      <c r="T94" s="1">
        <v>5294802</v>
      </c>
      <c r="U94" s="2"/>
      <c r="V94" s="9">
        <v>565851</v>
      </c>
      <c r="W94" s="9">
        <v>109074</v>
      </c>
      <c r="X94" s="9">
        <v>2234029</v>
      </c>
      <c r="Y94" s="9">
        <v>1793747</v>
      </c>
      <c r="Z94" s="7"/>
    </row>
    <row r="95" spans="2:26">
      <c r="B95" s="1">
        <v>522887</v>
      </c>
      <c r="C95" s="1">
        <v>154981</v>
      </c>
      <c r="D95" s="1">
        <v>245906</v>
      </c>
      <c r="E95" s="1">
        <v>393736</v>
      </c>
      <c r="F95" s="2"/>
      <c r="G95" s="1">
        <v>538516</v>
      </c>
      <c r="H95" s="1">
        <v>172926</v>
      </c>
      <c r="I95" s="1">
        <v>326118</v>
      </c>
      <c r="J95" s="1">
        <v>1043026</v>
      </c>
      <c r="K95" s="2"/>
      <c r="L95" s="1">
        <v>6768212</v>
      </c>
      <c r="M95" s="1">
        <v>87632</v>
      </c>
      <c r="N95" s="1">
        <v>434717</v>
      </c>
      <c r="O95" s="14">
        <v>1548785</v>
      </c>
      <c r="P95" s="2"/>
      <c r="Q95" s="1">
        <v>510106</v>
      </c>
      <c r="R95" s="1">
        <v>105506</v>
      </c>
      <c r="S95" s="1">
        <v>495184</v>
      </c>
      <c r="T95" s="1">
        <v>5355977</v>
      </c>
      <c r="U95" s="2"/>
      <c r="V95" s="9">
        <v>6258359</v>
      </c>
      <c r="W95" s="9">
        <v>155362</v>
      </c>
      <c r="X95" s="9">
        <v>595584</v>
      </c>
      <c r="Y95" s="9">
        <v>3819997</v>
      </c>
      <c r="Z95" s="7"/>
    </row>
    <row r="96" spans="2:26">
      <c r="B96" s="1">
        <v>545157</v>
      </c>
      <c r="C96" s="1">
        <v>161377</v>
      </c>
      <c r="D96" s="1">
        <v>243203</v>
      </c>
      <c r="E96" s="1">
        <v>394391</v>
      </c>
      <c r="F96" s="2"/>
      <c r="G96" s="1">
        <v>522631</v>
      </c>
      <c r="H96" s="1">
        <v>130881</v>
      </c>
      <c r="I96" s="1">
        <v>333692</v>
      </c>
      <c r="J96" s="1">
        <v>1083437</v>
      </c>
      <c r="K96" s="2"/>
      <c r="L96" s="1">
        <v>560736</v>
      </c>
      <c r="M96" s="1">
        <v>112417</v>
      </c>
      <c r="N96" s="1">
        <v>2306481</v>
      </c>
      <c r="O96" s="14">
        <v>1478799</v>
      </c>
      <c r="P96" s="2"/>
      <c r="Q96" s="1">
        <v>7282634</v>
      </c>
      <c r="R96" s="1">
        <v>155829</v>
      </c>
      <c r="S96" s="1">
        <v>466973</v>
      </c>
      <c r="T96" s="1">
        <v>1696603</v>
      </c>
      <c r="U96" s="2"/>
      <c r="V96" s="9">
        <v>547747</v>
      </c>
      <c r="W96" s="9">
        <v>91358</v>
      </c>
      <c r="X96" s="9">
        <v>552211</v>
      </c>
      <c r="Y96" s="9">
        <v>1806938</v>
      </c>
      <c r="Z96" s="7"/>
    </row>
    <row r="97" spans="1:31">
      <c r="B97" s="1">
        <v>525681</v>
      </c>
      <c r="C97" s="1">
        <v>136104</v>
      </c>
      <c r="D97" s="1">
        <v>243028</v>
      </c>
      <c r="E97" s="1">
        <v>385502</v>
      </c>
      <c r="F97" s="2"/>
      <c r="G97" s="1">
        <v>545825</v>
      </c>
      <c r="H97" s="1">
        <v>208200</v>
      </c>
      <c r="I97" s="1">
        <v>389159</v>
      </c>
      <c r="J97" s="1">
        <v>1569369</v>
      </c>
      <c r="K97" s="2"/>
      <c r="L97" s="1">
        <v>6637224</v>
      </c>
      <c r="M97" s="1">
        <v>176904</v>
      </c>
      <c r="N97" s="1">
        <v>2220249</v>
      </c>
      <c r="O97" s="14">
        <v>3906424</v>
      </c>
      <c r="P97" s="2"/>
      <c r="Q97" s="1">
        <v>492916</v>
      </c>
      <c r="R97" s="1">
        <v>110324</v>
      </c>
      <c r="S97" s="1">
        <v>457297</v>
      </c>
      <c r="T97" s="1">
        <v>1804314</v>
      </c>
      <c r="U97" s="2"/>
      <c r="V97" s="9">
        <v>564734</v>
      </c>
      <c r="W97" s="9">
        <v>177017</v>
      </c>
      <c r="X97" s="9">
        <v>546625</v>
      </c>
      <c r="Y97" s="9">
        <v>1797070</v>
      </c>
      <c r="Z97" s="7"/>
    </row>
    <row r="98" spans="1:31">
      <c r="B98" s="1">
        <v>545842</v>
      </c>
      <c r="C98" s="1">
        <v>175056</v>
      </c>
      <c r="D98" s="1">
        <v>244170</v>
      </c>
      <c r="E98" s="1">
        <v>398947</v>
      </c>
      <c r="F98" s="2"/>
      <c r="G98" s="1">
        <v>533631</v>
      </c>
      <c r="H98" s="1">
        <v>155785</v>
      </c>
      <c r="I98" s="1">
        <v>369264</v>
      </c>
      <c r="J98" s="1">
        <v>1232092</v>
      </c>
      <c r="K98" s="2"/>
      <c r="L98" s="1">
        <v>478725</v>
      </c>
      <c r="M98" s="1">
        <v>103782</v>
      </c>
      <c r="N98" s="1">
        <v>374517</v>
      </c>
      <c r="O98" s="14">
        <v>1396070</v>
      </c>
      <c r="P98" s="2"/>
      <c r="Q98" s="1">
        <v>526149</v>
      </c>
      <c r="R98" s="1">
        <v>198901</v>
      </c>
      <c r="S98" s="1">
        <v>494872</v>
      </c>
      <c r="T98" s="1">
        <v>-384754</v>
      </c>
      <c r="U98" s="2"/>
      <c r="V98" s="9">
        <v>512627</v>
      </c>
      <c r="W98" s="9">
        <v>82872</v>
      </c>
      <c r="X98" s="9">
        <v>581033</v>
      </c>
      <c r="Y98" s="9">
        <v>1846942</v>
      </c>
      <c r="Z98" s="7"/>
    </row>
    <row r="99" spans="1:31">
      <c r="B99" s="1">
        <v>526869</v>
      </c>
      <c r="C99" s="1">
        <v>185600</v>
      </c>
      <c r="D99" s="1">
        <v>244708</v>
      </c>
      <c r="E99" s="1">
        <v>-1727656</v>
      </c>
      <c r="F99" s="2"/>
      <c r="G99" s="1">
        <v>461470</v>
      </c>
      <c r="H99" s="1">
        <v>125908</v>
      </c>
      <c r="I99" s="1">
        <v>317423</v>
      </c>
      <c r="J99" s="1">
        <v>1092306</v>
      </c>
      <c r="K99" s="2"/>
      <c r="L99" s="1">
        <v>513491</v>
      </c>
      <c r="M99" s="1">
        <v>138992</v>
      </c>
      <c r="N99" s="1">
        <v>417134</v>
      </c>
      <c r="O99" s="14">
        <v>1384216</v>
      </c>
      <c r="P99" s="2"/>
      <c r="Q99" s="1">
        <v>537105</v>
      </c>
      <c r="R99" s="1">
        <v>130880</v>
      </c>
      <c r="S99" s="1">
        <v>524627</v>
      </c>
      <c r="T99" s="1">
        <v>1697541</v>
      </c>
      <c r="U99" s="2"/>
      <c r="V99" s="9">
        <v>540365</v>
      </c>
      <c r="W99" s="9">
        <v>168606</v>
      </c>
      <c r="X99" s="9">
        <v>529781</v>
      </c>
      <c r="Y99" s="9">
        <v>6099008</v>
      </c>
      <c r="Z99" s="7"/>
    </row>
    <row r="100" spans="1:31">
      <c r="B100" s="1">
        <v>525642</v>
      </c>
      <c r="C100" s="1">
        <v>159900</v>
      </c>
      <c r="D100" s="1">
        <v>251735</v>
      </c>
      <c r="E100" s="1">
        <v>401792</v>
      </c>
      <c r="F100" s="2"/>
      <c r="G100" s="1">
        <v>497372</v>
      </c>
      <c r="H100" s="1">
        <v>131568</v>
      </c>
      <c r="I100" s="1">
        <v>341943</v>
      </c>
      <c r="J100" s="1">
        <v>1059387</v>
      </c>
      <c r="K100" s="2"/>
      <c r="L100" s="1">
        <v>557551</v>
      </c>
      <c r="M100" s="1">
        <v>146678</v>
      </c>
      <c r="N100" s="1">
        <v>360586</v>
      </c>
      <c r="O100" s="14">
        <v>4118627</v>
      </c>
      <c r="P100" s="2"/>
      <c r="Q100" s="1">
        <v>6120045</v>
      </c>
      <c r="R100" s="1">
        <v>93152</v>
      </c>
      <c r="S100" s="1">
        <v>534347</v>
      </c>
      <c r="T100" s="1">
        <v>1652496</v>
      </c>
      <c r="U100" s="2"/>
      <c r="V100" s="9">
        <v>570874</v>
      </c>
      <c r="W100" s="9">
        <v>81379</v>
      </c>
      <c r="X100" s="9">
        <v>541268</v>
      </c>
      <c r="Y100" s="9">
        <v>1825661</v>
      </c>
      <c r="Z100" s="7"/>
    </row>
    <row r="101" spans="1:31">
      <c r="B101" s="1">
        <v>601768</v>
      </c>
      <c r="C101" s="1">
        <v>139072</v>
      </c>
      <c r="D101" s="1">
        <v>242411</v>
      </c>
      <c r="E101" s="1">
        <v>442542</v>
      </c>
      <c r="F101" s="2"/>
      <c r="G101" s="1">
        <v>559882</v>
      </c>
      <c r="H101" s="1">
        <v>160990</v>
      </c>
      <c r="I101" s="1">
        <v>299470</v>
      </c>
      <c r="J101" s="1">
        <v>1279803</v>
      </c>
      <c r="K101" s="2"/>
      <c r="L101" s="1">
        <v>494786</v>
      </c>
      <c r="M101" s="1">
        <v>174747</v>
      </c>
      <c r="N101" s="1">
        <v>419225</v>
      </c>
      <c r="O101" s="14">
        <v>1375351</v>
      </c>
      <c r="P101" s="2"/>
      <c r="Q101" s="1">
        <v>474937</v>
      </c>
      <c r="R101" s="1">
        <v>192286</v>
      </c>
      <c r="S101" s="1">
        <v>2376550</v>
      </c>
      <c r="T101" s="1">
        <v>1743568</v>
      </c>
      <c r="U101" s="2"/>
      <c r="V101" s="9">
        <v>540410</v>
      </c>
      <c r="W101" s="9">
        <v>172349</v>
      </c>
      <c r="X101" s="9">
        <v>556411</v>
      </c>
      <c r="Y101" s="9">
        <v>1836970</v>
      </c>
      <c r="Z101" s="7"/>
    </row>
    <row r="102" spans="1:31">
      <c r="B102" s="1">
        <v>526790</v>
      </c>
      <c r="C102" s="1">
        <v>168599</v>
      </c>
      <c r="D102" s="1">
        <v>251470</v>
      </c>
      <c r="E102" s="1">
        <v>394964</v>
      </c>
      <c r="F102" s="2"/>
      <c r="G102" s="1">
        <v>562619</v>
      </c>
      <c r="H102" s="1">
        <v>132083</v>
      </c>
      <c r="I102" s="1">
        <v>349674</v>
      </c>
      <c r="J102" s="1">
        <v>-1036147</v>
      </c>
      <c r="K102" s="2"/>
      <c r="L102" s="1">
        <v>478223</v>
      </c>
      <c r="M102" s="1">
        <v>115120</v>
      </c>
      <c r="N102" s="1">
        <v>347245</v>
      </c>
      <c r="O102" s="14">
        <v>1499207</v>
      </c>
      <c r="P102" s="2"/>
      <c r="Q102" s="1">
        <v>492879</v>
      </c>
      <c r="R102" s="1">
        <v>72681</v>
      </c>
      <c r="S102" s="1">
        <v>510704</v>
      </c>
      <c r="T102" s="1">
        <v>1754451</v>
      </c>
      <c r="U102" s="2"/>
      <c r="V102" s="9">
        <v>514225</v>
      </c>
      <c r="W102" s="9">
        <v>112015</v>
      </c>
      <c r="X102" s="9">
        <v>591251</v>
      </c>
      <c r="Y102" s="9">
        <v>1805259</v>
      </c>
      <c r="Z102" s="7"/>
    </row>
    <row r="103" spans="1:31">
      <c r="B103" s="1">
        <v>568184</v>
      </c>
      <c r="C103" s="1">
        <v>151301</v>
      </c>
      <c r="D103" s="1">
        <v>244367</v>
      </c>
      <c r="E103" s="1">
        <v>384893</v>
      </c>
      <c r="F103" s="2"/>
      <c r="G103" s="1">
        <v>7074394</v>
      </c>
      <c r="H103" s="1">
        <v>104363</v>
      </c>
      <c r="I103" s="1">
        <v>289297</v>
      </c>
      <c r="J103" s="1">
        <v>1041062</v>
      </c>
      <c r="K103" s="2"/>
      <c r="L103" s="1">
        <v>558178</v>
      </c>
      <c r="M103" s="1">
        <v>185126</v>
      </c>
      <c r="N103" s="1">
        <v>482721</v>
      </c>
      <c r="O103" s="14">
        <v>1623124</v>
      </c>
      <c r="P103" s="2"/>
      <c r="Q103" s="1">
        <v>495847</v>
      </c>
      <c r="R103" s="1">
        <v>171895</v>
      </c>
      <c r="S103" s="1">
        <v>2317494</v>
      </c>
      <c r="T103" s="1">
        <v>1671017</v>
      </c>
      <c r="U103" s="2"/>
      <c r="V103" s="9">
        <v>537870</v>
      </c>
      <c r="W103" s="9">
        <v>146903</v>
      </c>
      <c r="X103" s="9">
        <v>2215734</v>
      </c>
      <c r="Y103" s="9">
        <v>1777001</v>
      </c>
      <c r="Z103" s="7"/>
    </row>
    <row r="104" spans="1:31">
      <c r="B104" s="1">
        <v>526963</v>
      </c>
      <c r="C104" s="1">
        <v>128590</v>
      </c>
      <c r="D104" s="1">
        <v>243536</v>
      </c>
      <c r="E104" s="1">
        <v>387503</v>
      </c>
      <c r="F104" s="2"/>
      <c r="G104" s="1">
        <v>540450</v>
      </c>
      <c r="H104" s="1">
        <v>170107</v>
      </c>
      <c r="I104" s="1">
        <v>1871551</v>
      </c>
      <c r="J104" s="1">
        <v>1045914</v>
      </c>
      <c r="K104" s="2"/>
      <c r="L104" s="1">
        <v>555810</v>
      </c>
      <c r="M104" s="1">
        <v>153789</v>
      </c>
      <c r="N104" s="1">
        <v>360652</v>
      </c>
      <c r="O104" s="14">
        <v>1502175</v>
      </c>
      <c r="P104" s="2"/>
      <c r="Q104" s="1">
        <v>519203</v>
      </c>
      <c r="R104" s="1">
        <v>97390</v>
      </c>
      <c r="S104" s="1">
        <v>492498</v>
      </c>
      <c r="T104" s="1">
        <v>1681373</v>
      </c>
      <c r="U104" s="2"/>
      <c r="V104" s="9">
        <v>524340</v>
      </c>
      <c r="W104" s="9">
        <v>183370</v>
      </c>
      <c r="X104" s="9">
        <v>572356</v>
      </c>
      <c r="Y104" s="9">
        <v>1759231</v>
      </c>
      <c r="Z104" s="7"/>
    </row>
    <row r="105" spans="1:31">
      <c r="B105" s="1">
        <v>547033</v>
      </c>
      <c r="C105" s="1">
        <v>161138</v>
      </c>
      <c r="D105" s="1">
        <v>242086</v>
      </c>
      <c r="E105" s="1">
        <v>386679</v>
      </c>
      <c r="F105" s="2"/>
      <c r="G105" s="1">
        <v>8468899</v>
      </c>
      <c r="H105" s="1">
        <v>100892</v>
      </c>
      <c r="I105" s="1">
        <v>2460325</v>
      </c>
      <c r="J105" s="1">
        <v>1039494</v>
      </c>
      <c r="K105" s="2"/>
      <c r="L105" s="1">
        <v>537297</v>
      </c>
      <c r="M105" s="1">
        <v>122027</v>
      </c>
      <c r="N105" s="1">
        <v>417929</v>
      </c>
      <c r="O105" s="14">
        <v>1462969</v>
      </c>
      <c r="P105" s="2"/>
      <c r="Q105" s="1">
        <v>6157952</v>
      </c>
      <c r="R105" s="1">
        <v>165056</v>
      </c>
      <c r="S105" s="1">
        <v>505227</v>
      </c>
      <c r="T105" s="1">
        <v>1740519</v>
      </c>
      <c r="U105" s="2"/>
      <c r="V105" s="9">
        <v>532406</v>
      </c>
      <c r="W105" s="9">
        <v>86924</v>
      </c>
      <c r="X105" s="9">
        <v>570554</v>
      </c>
      <c r="Y105" s="9">
        <v>1790275</v>
      </c>
      <c r="Z105" s="7"/>
    </row>
    <row r="106" spans="1:31">
      <c r="B106" s="1">
        <v>533224</v>
      </c>
      <c r="C106" s="1">
        <v>158628</v>
      </c>
      <c r="D106" s="1">
        <v>248887</v>
      </c>
      <c r="E106" s="1">
        <v>396264</v>
      </c>
      <c r="F106" s="2"/>
      <c r="G106" s="1">
        <v>560326</v>
      </c>
      <c r="H106" s="1">
        <v>107824</v>
      </c>
      <c r="I106" s="1">
        <v>864908</v>
      </c>
      <c r="J106" s="1">
        <v>1377617</v>
      </c>
      <c r="K106" s="2"/>
      <c r="L106" s="1">
        <v>524052</v>
      </c>
      <c r="M106" s="1">
        <v>156649</v>
      </c>
      <c r="N106" s="1">
        <v>2335791</v>
      </c>
      <c r="O106" s="14">
        <v>4207651</v>
      </c>
      <c r="P106" s="2"/>
      <c r="Q106" s="1">
        <v>536548</v>
      </c>
      <c r="R106" s="1">
        <v>118338</v>
      </c>
      <c r="S106" s="1">
        <v>511056</v>
      </c>
      <c r="T106" s="1">
        <v>1653171</v>
      </c>
      <c r="U106" s="2"/>
      <c r="V106" s="9">
        <v>6864917</v>
      </c>
      <c r="W106" s="9">
        <v>111753</v>
      </c>
      <c r="X106" s="9">
        <v>2195639</v>
      </c>
      <c r="Y106" s="9">
        <v>1782428</v>
      </c>
      <c r="Z106" s="7"/>
    </row>
    <row r="107" spans="1:31">
      <c r="B107" s="1">
        <v>546798</v>
      </c>
      <c r="C107" s="1">
        <v>207369</v>
      </c>
      <c r="D107" s="1">
        <v>245110</v>
      </c>
      <c r="E107" s="1">
        <v>391010</v>
      </c>
      <c r="F107" s="2"/>
      <c r="G107" s="1">
        <v>510649</v>
      </c>
      <c r="H107" s="1">
        <v>144111</v>
      </c>
      <c r="I107" s="1">
        <v>297720</v>
      </c>
      <c r="J107" s="1">
        <v>1031761</v>
      </c>
      <c r="K107" s="2"/>
      <c r="L107" s="1">
        <v>506579</v>
      </c>
      <c r="M107" s="1">
        <v>193998</v>
      </c>
      <c r="N107" s="1">
        <v>2431855</v>
      </c>
      <c r="O107" s="14">
        <v>1390350</v>
      </c>
      <c r="P107" s="2"/>
      <c r="Q107" s="1">
        <v>527926</v>
      </c>
      <c r="R107" s="1">
        <v>143200</v>
      </c>
      <c r="S107" s="1">
        <v>518823</v>
      </c>
      <c r="T107" s="1">
        <v>1682017</v>
      </c>
      <c r="U107" s="2"/>
      <c r="V107" s="9">
        <v>510482</v>
      </c>
      <c r="W107" s="9">
        <v>115881</v>
      </c>
      <c r="X107" s="9">
        <v>538924</v>
      </c>
      <c r="Y107" s="9">
        <v>1820738</v>
      </c>
      <c r="Z107" s="7"/>
    </row>
    <row r="108" spans="1:31">
      <c r="A108" s="6" t="s">
        <v>10</v>
      </c>
      <c r="B108" s="3">
        <f>AVERAGE(B78:B107)</f>
        <v>535523.80000000005</v>
      </c>
      <c r="C108" s="3">
        <f>AVERAGE(C78:C107)</f>
        <v>160720.4</v>
      </c>
      <c r="D108" s="3">
        <f>AVERAGE(D78:D107)</f>
        <v>246135.73333333334</v>
      </c>
      <c r="E108" s="3">
        <f>AVERAGE(E78:E107)</f>
        <v>331521.13333333336</v>
      </c>
      <c r="F108" s="2"/>
      <c r="G108" s="3">
        <f>AVERAGE(G78:G107)</f>
        <v>1641799.3</v>
      </c>
      <c r="H108" s="3">
        <f>AVERAGE(H78:H107)</f>
        <v>146649.63333333333</v>
      </c>
      <c r="I108" s="3">
        <f>AVERAGE(I78:I107)</f>
        <v>706038.93333333335</v>
      </c>
      <c r="J108" s="3">
        <f>AVERAGE(J78:J107)</f>
        <v>1082274.1666666667</v>
      </c>
      <c r="K108" s="2"/>
      <c r="L108" s="3">
        <f>AVERAGE(L78:L107)</f>
        <v>2381290.7999999998</v>
      </c>
      <c r="M108" s="3">
        <f>AVERAGE(M78:M107)</f>
        <v>146732.53333333333</v>
      </c>
      <c r="N108" s="3">
        <f>AVERAGE(N78:N107)</f>
        <v>890051.33333333337</v>
      </c>
      <c r="O108" s="3">
        <f>AVERAGE(O78:O107)</f>
        <v>1842179.4333333333</v>
      </c>
      <c r="P108" s="2"/>
      <c r="Q108" s="3">
        <f>AVERAGE(Q78:Q107)</f>
        <v>1512878.2333333334</v>
      </c>
      <c r="R108" s="3">
        <f>AVERAGE(R78:R107)</f>
        <v>135386.9</v>
      </c>
      <c r="S108" s="3">
        <f>AVERAGE(S78:S107)</f>
        <v>763243.6</v>
      </c>
      <c r="T108" s="3">
        <f>AVERAGE(T78:T107)</f>
        <v>2468527</v>
      </c>
      <c r="U108" s="2"/>
      <c r="V108" s="11">
        <f>AVERAGE(V78:V107)</f>
        <v>1336721.1333333333</v>
      </c>
      <c r="W108" s="11">
        <f>AVERAGE(W78:W107)</f>
        <v>131370.33333333334</v>
      </c>
      <c r="X108" s="11">
        <f>AVERAGE(X78:X107)</f>
        <v>1014267.5333333333</v>
      </c>
      <c r="Y108" s="11">
        <f>AVERAGE(Y78:Y107)</f>
        <v>2509010.2666666666</v>
      </c>
      <c r="Z108" s="7"/>
    </row>
    <row r="109" spans="1:31">
      <c r="V109" s="7"/>
      <c r="W109" s="7"/>
      <c r="X109" s="7"/>
      <c r="Y109" s="7"/>
      <c r="Z109" s="7"/>
    </row>
    <row r="110" spans="1:31" ht="15.75" thickBot="1">
      <c r="V110" s="7"/>
      <c r="W110" s="7"/>
      <c r="X110" s="7"/>
      <c r="Y110" s="7"/>
      <c r="Z110" s="7"/>
    </row>
    <row r="111" spans="1:31" s="7" customFormat="1" ht="16.5" customHeight="1" thickBot="1">
      <c r="B111" s="66" t="s">
        <v>41</v>
      </c>
      <c r="C111" s="67"/>
      <c r="D111" s="67"/>
      <c r="E111" s="68"/>
      <c r="G111" s="66" t="s">
        <v>41</v>
      </c>
      <c r="H111" s="67"/>
      <c r="I111" s="67"/>
      <c r="J111" s="68"/>
      <c r="L111" s="66" t="s">
        <v>41</v>
      </c>
      <c r="M111" s="67"/>
      <c r="N111" s="67"/>
      <c r="O111" s="68"/>
      <c r="Q111" s="66" t="s">
        <v>41</v>
      </c>
      <c r="R111" s="67"/>
      <c r="S111" s="67"/>
      <c r="T111" s="68"/>
      <c r="V111" s="66" t="s">
        <v>41</v>
      </c>
      <c r="W111" s="67"/>
      <c r="X111" s="67"/>
      <c r="Y111" s="68"/>
      <c r="AA111" s="20"/>
      <c r="AB111" s="20"/>
      <c r="AC111" s="20"/>
      <c r="AD111" s="20"/>
      <c r="AE111" s="20"/>
    </row>
    <row r="112" spans="1:31" s="7" customFormat="1" ht="13.5" customHeight="1" thickBot="1">
      <c r="B112" s="63" t="s">
        <v>21</v>
      </c>
      <c r="C112" s="64"/>
      <c r="D112" s="64"/>
      <c r="E112" s="65"/>
      <c r="G112" s="59" t="s">
        <v>22</v>
      </c>
      <c r="H112" s="59"/>
      <c r="I112" s="59"/>
      <c r="J112" s="59"/>
      <c r="L112" s="59" t="s">
        <v>23</v>
      </c>
      <c r="M112" s="59"/>
      <c r="N112" s="59"/>
      <c r="O112" s="59"/>
      <c r="Q112" s="59" t="s">
        <v>24</v>
      </c>
      <c r="R112" s="59"/>
      <c r="S112" s="59"/>
      <c r="T112" s="59"/>
      <c r="V112" s="59" t="s">
        <v>40</v>
      </c>
      <c r="W112" s="59"/>
      <c r="X112" s="59"/>
      <c r="Y112" s="59"/>
      <c r="AA112" s="21"/>
      <c r="AB112" s="21"/>
      <c r="AC112" s="21"/>
      <c r="AD112" s="21"/>
      <c r="AE112" s="21"/>
    </row>
    <row r="113" spans="2:26" s="7" customFormat="1" ht="45.75" thickBot="1">
      <c r="B113" s="28" t="s">
        <v>6</v>
      </c>
      <c r="C113" s="44" t="s">
        <v>7</v>
      </c>
      <c r="D113" s="43" t="s">
        <v>8</v>
      </c>
      <c r="E113" s="43" t="s">
        <v>9</v>
      </c>
      <c r="G113" s="28" t="s">
        <v>6</v>
      </c>
      <c r="H113" s="44" t="s">
        <v>7</v>
      </c>
      <c r="I113" s="43" t="s">
        <v>8</v>
      </c>
      <c r="J113" s="43" t="s">
        <v>9</v>
      </c>
      <c r="L113" s="28" t="s">
        <v>6</v>
      </c>
      <c r="M113" s="44" t="s">
        <v>7</v>
      </c>
      <c r="N113" s="43" t="s">
        <v>8</v>
      </c>
      <c r="O113" s="43" t="s">
        <v>9</v>
      </c>
      <c r="Q113" s="28" t="s">
        <v>6</v>
      </c>
      <c r="R113" s="44" t="s">
        <v>7</v>
      </c>
      <c r="S113" s="43" t="s">
        <v>8</v>
      </c>
      <c r="T113" s="43" t="s">
        <v>9</v>
      </c>
      <c r="V113" s="28" t="s">
        <v>6</v>
      </c>
      <c r="W113" s="44" t="s">
        <v>7</v>
      </c>
      <c r="X113" s="43" t="s">
        <v>8</v>
      </c>
      <c r="Y113" s="43" t="s">
        <v>9</v>
      </c>
    </row>
    <row r="114" spans="2:26">
      <c r="B114" s="1">
        <v>4215743</v>
      </c>
      <c r="C114" s="1">
        <v>1329523</v>
      </c>
      <c r="D114" s="1">
        <v>1992725</v>
      </c>
      <c r="E114" s="1">
        <v>1253331</v>
      </c>
      <c r="F114" s="2"/>
      <c r="G114" s="1">
        <v>56349915</v>
      </c>
      <c r="H114" s="1">
        <v>1012556</v>
      </c>
      <c r="I114" s="1">
        <v>2614902</v>
      </c>
      <c r="J114" s="1">
        <v>8335075</v>
      </c>
      <c r="K114" s="2"/>
      <c r="L114" s="1">
        <v>4372088</v>
      </c>
      <c r="M114" s="1">
        <v>1126427</v>
      </c>
      <c r="N114" s="1">
        <v>19247089</v>
      </c>
      <c r="O114" s="14">
        <v>8853873</v>
      </c>
      <c r="P114" s="2"/>
      <c r="Q114" s="1">
        <v>49223979</v>
      </c>
      <c r="R114" s="1">
        <v>1064820</v>
      </c>
      <c r="S114" s="1">
        <v>19293622</v>
      </c>
      <c r="T114" s="1">
        <v>10799350</v>
      </c>
      <c r="U114" s="2"/>
      <c r="V114" s="9">
        <v>50655728</v>
      </c>
      <c r="W114" s="9">
        <v>1062380</v>
      </c>
      <c r="X114" s="9">
        <v>4628495</v>
      </c>
      <c r="Y114" s="9">
        <v>41395123</v>
      </c>
      <c r="Z114" s="7"/>
    </row>
    <row r="115" spans="2:26">
      <c r="B115" s="1">
        <v>4206160</v>
      </c>
      <c r="C115" s="1">
        <v>1241019</v>
      </c>
      <c r="D115" s="1">
        <v>1973418</v>
      </c>
      <c r="E115" s="1">
        <v>3700150</v>
      </c>
      <c r="F115" s="2"/>
      <c r="G115" s="1">
        <v>4278389</v>
      </c>
      <c r="H115" s="1">
        <v>1074706</v>
      </c>
      <c r="I115" s="1">
        <v>2635904</v>
      </c>
      <c r="J115" s="1">
        <v>8299424</v>
      </c>
      <c r="K115" s="2"/>
      <c r="L115" s="1">
        <v>53263752</v>
      </c>
      <c r="M115" s="1">
        <v>1090284</v>
      </c>
      <c r="N115" s="1">
        <v>2735083</v>
      </c>
      <c r="O115" s="14">
        <v>11125444</v>
      </c>
      <c r="P115" s="2"/>
      <c r="Q115" s="1">
        <v>51965701</v>
      </c>
      <c r="R115" s="1">
        <v>1054536</v>
      </c>
      <c r="S115" s="1">
        <v>4106020</v>
      </c>
      <c r="T115" s="1">
        <v>39739767</v>
      </c>
      <c r="U115" s="2"/>
      <c r="V115" s="9">
        <v>47650261</v>
      </c>
      <c r="W115" s="9">
        <v>1065656</v>
      </c>
      <c r="X115" s="9">
        <v>4414336</v>
      </c>
      <c r="Y115" s="9">
        <v>13759744</v>
      </c>
      <c r="Z115" s="7"/>
    </row>
    <row r="116" spans="2:26">
      <c r="B116" s="1">
        <v>3291323</v>
      </c>
      <c r="C116" s="1">
        <v>1123894</v>
      </c>
      <c r="D116" s="1">
        <v>1951282</v>
      </c>
      <c r="E116" s="1">
        <v>3167373</v>
      </c>
      <c r="F116" s="2"/>
      <c r="G116" s="1">
        <v>58524644</v>
      </c>
      <c r="H116" s="1">
        <v>1050775</v>
      </c>
      <c r="I116" s="1">
        <v>2418782</v>
      </c>
      <c r="J116" s="1">
        <v>8172402</v>
      </c>
      <c r="K116" s="2"/>
      <c r="L116" s="1">
        <v>51350035</v>
      </c>
      <c r="M116" s="1">
        <v>1105881</v>
      </c>
      <c r="N116" s="1">
        <v>3253885</v>
      </c>
      <c r="O116" s="14">
        <v>10984941</v>
      </c>
      <c r="P116" s="2"/>
      <c r="Q116" s="1">
        <v>3985470</v>
      </c>
      <c r="R116" s="1">
        <v>1066028</v>
      </c>
      <c r="S116" s="1">
        <v>4313114</v>
      </c>
      <c r="T116" s="1">
        <v>39450736</v>
      </c>
      <c r="U116" s="2"/>
      <c r="V116" s="9">
        <v>51960834</v>
      </c>
      <c r="W116" s="9">
        <v>1068973</v>
      </c>
      <c r="X116" s="9">
        <v>4288635</v>
      </c>
      <c r="Y116" s="9">
        <v>11596651</v>
      </c>
      <c r="Z116" s="7"/>
    </row>
    <row r="117" spans="2:26">
      <c r="B117" s="1">
        <v>3991558</v>
      </c>
      <c r="C117" s="1">
        <v>1262509</v>
      </c>
      <c r="D117" s="1">
        <v>1980175</v>
      </c>
      <c r="E117" s="1">
        <v>3231230</v>
      </c>
      <c r="F117" s="2"/>
      <c r="G117" s="1">
        <v>3898303</v>
      </c>
      <c r="H117" s="1">
        <v>1098825</v>
      </c>
      <c r="I117" s="1">
        <v>2298698</v>
      </c>
      <c r="J117" s="1">
        <v>6013909</v>
      </c>
      <c r="K117" s="2"/>
      <c r="L117" s="1">
        <v>51111255</v>
      </c>
      <c r="M117" s="1">
        <v>1097109</v>
      </c>
      <c r="N117" s="1">
        <v>2795308</v>
      </c>
      <c r="O117" s="14">
        <v>8792444</v>
      </c>
      <c r="P117" s="2"/>
      <c r="Q117" s="1">
        <v>4164475</v>
      </c>
      <c r="R117" s="1">
        <v>1049876</v>
      </c>
      <c r="S117" s="1">
        <v>18242497</v>
      </c>
      <c r="T117" s="1">
        <v>10692639</v>
      </c>
      <c r="U117" s="2"/>
      <c r="V117" s="9">
        <v>3964194</v>
      </c>
      <c r="W117" s="9">
        <v>1095623</v>
      </c>
      <c r="X117" s="9">
        <v>4605074</v>
      </c>
      <c r="Y117" s="9">
        <v>13839252</v>
      </c>
      <c r="Z117" s="7"/>
    </row>
    <row r="118" spans="2:26">
      <c r="B118" s="1">
        <v>4221234</v>
      </c>
      <c r="C118" s="1">
        <v>1212298</v>
      </c>
      <c r="D118" s="1">
        <v>1980784</v>
      </c>
      <c r="E118" s="1">
        <v>3214283</v>
      </c>
      <c r="F118" s="2"/>
      <c r="G118" s="1">
        <v>4313944</v>
      </c>
      <c r="H118" s="1">
        <v>1041267</v>
      </c>
      <c r="I118" s="1">
        <v>2416160</v>
      </c>
      <c r="J118" s="1">
        <v>8114985</v>
      </c>
      <c r="K118" s="2"/>
      <c r="L118" s="1">
        <v>49808285</v>
      </c>
      <c r="M118" s="1">
        <v>1059264</v>
      </c>
      <c r="N118" s="1">
        <v>3018530</v>
      </c>
      <c r="O118" s="14">
        <v>27843994</v>
      </c>
      <c r="P118" s="2"/>
      <c r="Q118" s="1">
        <v>4016040</v>
      </c>
      <c r="R118" s="1">
        <v>1089306</v>
      </c>
      <c r="S118" s="1">
        <v>18931053</v>
      </c>
      <c r="T118" s="1">
        <v>39580617</v>
      </c>
      <c r="U118" s="2"/>
      <c r="V118" s="9">
        <v>52038531</v>
      </c>
      <c r="W118" s="9">
        <v>1107557</v>
      </c>
      <c r="X118" s="9">
        <v>4591388</v>
      </c>
      <c r="Y118" s="9">
        <v>44318194</v>
      </c>
      <c r="Z118" s="7"/>
    </row>
    <row r="119" spans="2:26">
      <c r="B119" s="1">
        <v>4304651</v>
      </c>
      <c r="C119" s="1">
        <v>1211682</v>
      </c>
      <c r="D119" s="1">
        <v>1991187</v>
      </c>
      <c r="E119" s="1">
        <v>3224613</v>
      </c>
      <c r="F119" s="2"/>
      <c r="G119" s="1">
        <v>4128292</v>
      </c>
      <c r="H119" s="1">
        <v>1020129</v>
      </c>
      <c r="I119" s="1">
        <v>2373810</v>
      </c>
      <c r="J119" s="1">
        <v>8185600</v>
      </c>
      <c r="K119" s="2"/>
      <c r="L119" s="1">
        <v>4325242</v>
      </c>
      <c r="M119" s="1">
        <v>1087894</v>
      </c>
      <c r="N119" s="1">
        <v>3272201</v>
      </c>
      <c r="O119" s="14">
        <v>28614905</v>
      </c>
      <c r="P119" s="2"/>
      <c r="Q119" s="1">
        <v>51705088</v>
      </c>
      <c r="R119" s="1">
        <v>1054767</v>
      </c>
      <c r="S119" s="1">
        <v>3665255</v>
      </c>
      <c r="T119" s="1">
        <v>13109411</v>
      </c>
      <c r="U119" s="2"/>
      <c r="V119" s="9">
        <v>4125622</v>
      </c>
      <c r="W119" s="9">
        <v>1099150</v>
      </c>
      <c r="X119" s="9">
        <v>5292779</v>
      </c>
      <c r="Y119" s="9">
        <v>11953128</v>
      </c>
      <c r="Z119" s="7"/>
    </row>
    <row r="120" spans="2:26">
      <c r="B120" s="1">
        <v>4239752</v>
      </c>
      <c r="C120" s="1">
        <v>1213007</v>
      </c>
      <c r="D120" s="1">
        <v>1986561</v>
      </c>
      <c r="E120" s="1">
        <v>3186370</v>
      </c>
      <c r="F120" s="2"/>
      <c r="G120" s="1">
        <v>56319382</v>
      </c>
      <c r="H120" s="1">
        <v>1137966</v>
      </c>
      <c r="I120" s="1">
        <v>2633824</v>
      </c>
      <c r="J120" s="1">
        <v>8239551</v>
      </c>
      <c r="K120" s="2"/>
      <c r="L120" s="1">
        <v>50524659</v>
      </c>
      <c r="M120" s="1">
        <v>1146847</v>
      </c>
      <c r="N120" s="1">
        <v>3045244</v>
      </c>
      <c r="O120" s="14">
        <v>9047594</v>
      </c>
      <c r="P120" s="2"/>
      <c r="Q120" s="1">
        <v>3556867</v>
      </c>
      <c r="R120" s="1">
        <v>1062018</v>
      </c>
      <c r="S120" s="1">
        <v>18971077</v>
      </c>
      <c r="T120" s="1">
        <v>10547604</v>
      </c>
      <c r="U120" s="2"/>
      <c r="V120" s="9">
        <v>3840380</v>
      </c>
      <c r="W120" s="9">
        <v>1412152</v>
      </c>
      <c r="X120" s="9">
        <v>4442376</v>
      </c>
      <c r="Y120" s="9">
        <v>43860534</v>
      </c>
      <c r="Z120" s="7"/>
    </row>
    <row r="121" spans="2:26">
      <c r="B121" s="1">
        <v>4239050</v>
      </c>
      <c r="C121" s="1">
        <v>1185899</v>
      </c>
      <c r="D121" s="1">
        <v>2600187</v>
      </c>
      <c r="E121" s="1">
        <v>3180720</v>
      </c>
      <c r="F121" s="2"/>
      <c r="G121" s="1">
        <v>4403950</v>
      </c>
      <c r="H121" s="1">
        <v>1285912</v>
      </c>
      <c r="I121" s="1">
        <v>17492876</v>
      </c>
      <c r="J121" s="1">
        <v>5881661</v>
      </c>
      <c r="K121" s="2"/>
      <c r="L121" s="1">
        <v>50029725</v>
      </c>
      <c r="M121" s="1">
        <v>1100953</v>
      </c>
      <c r="N121" s="1">
        <v>3330175</v>
      </c>
      <c r="O121" s="14">
        <v>11633514</v>
      </c>
      <c r="P121" s="2"/>
      <c r="Q121" s="1">
        <v>3962859</v>
      </c>
      <c r="R121" s="1">
        <v>1106302</v>
      </c>
      <c r="S121" s="1">
        <v>3729729</v>
      </c>
      <c r="T121" s="1">
        <v>12906065</v>
      </c>
      <c r="U121" s="2"/>
      <c r="V121" s="9">
        <v>4339777</v>
      </c>
      <c r="W121" s="9">
        <v>1085683</v>
      </c>
      <c r="X121" s="9">
        <v>17623711</v>
      </c>
      <c r="Y121" s="9">
        <v>11776589</v>
      </c>
      <c r="Z121" s="7"/>
    </row>
    <row r="122" spans="2:26">
      <c r="B122" s="1">
        <v>4191724</v>
      </c>
      <c r="C122" s="1">
        <v>1115476</v>
      </c>
      <c r="D122" s="1">
        <v>1987367</v>
      </c>
      <c r="E122" s="1">
        <v>3141339</v>
      </c>
      <c r="F122" s="2"/>
      <c r="G122" s="1">
        <v>57111694</v>
      </c>
      <c r="H122" s="1">
        <v>1292438</v>
      </c>
      <c r="I122" s="1">
        <v>2525813</v>
      </c>
      <c r="J122" s="1">
        <v>8296749</v>
      </c>
      <c r="K122" s="2"/>
      <c r="L122" s="1">
        <v>51812487</v>
      </c>
      <c r="M122" s="1">
        <v>1089915</v>
      </c>
      <c r="N122" s="1">
        <v>3831401</v>
      </c>
      <c r="O122" s="14">
        <v>28064451</v>
      </c>
      <c r="P122" s="2"/>
      <c r="Q122" s="1">
        <v>4652672</v>
      </c>
      <c r="R122" s="1">
        <v>1077580</v>
      </c>
      <c r="S122" s="1">
        <v>3609242</v>
      </c>
      <c r="T122" s="1">
        <v>10858891</v>
      </c>
      <c r="U122" s="2"/>
      <c r="V122" s="9">
        <v>50402002</v>
      </c>
      <c r="W122" s="9">
        <v>1147352</v>
      </c>
      <c r="X122" s="9">
        <v>18208324</v>
      </c>
      <c r="Y122" s="9">
        <v>13676179</v>
      </c>
      <c r="Z122" s="7"/>
    </row>
    <row r="123" spans="2:26">
      <c r="B123" s="1">
        <v>4382637</v>
      </c>
      <c r="C123" s="1">
        <v>1134626</v>
      </c>
      <c r="D123" s="1">
        <v>1986706</v>
      </c>
      <c r="E123" s="1">
        <v>3147248</v>
      </c>
      <c r="F123" s="2"/>
      <c r="G123" s="1">
        <v>3466601</v>
      </c>
      <c r="H123" s="1">
        <v>1125376</v>
      </c>
      <c r="I123" s="1">
        <v>2631391</v>
      </c>
      <c r="J123" s="1">
        <v>8270714</v>
      </c>
      <c r="K123" s="2"/>
      <c r="L123" s="1">
        <v>52529110</v>
      </c>
      <c r="M123" s="1">
        <v>1095212</v>
      </c>
      <c r="N123" s="1">
        <v>3310095</v>
      </c>
      <c r="O123" s="14">
        <v>11317823</v>
      </c>
      <c r="P123" s="2"/>
      <c r="Q123" s="1">
        <v>4294957</v>
      </c>
      <c r="R123" s="1">
        <v>1195598</v>
      </c>
      <c r="S123" s="1">
        <v>18567108</v>
      </c>
      <c r="T123" s="1">
        <v>12867704</v>
      </c>
      <c r="U123" s="2"/>
      <c r="V123" s="9">
        <v>3845819</v>
      </c>
      <c r="W123" s="9">
        <v>1066156</v>
      </c>
      <c r="X123" s="9">
        <v>4469011</v>
      </c>
      <c r="Y123" s="9">
        <v>11552165</v>
      </c>
      <c r="Z123" s="7"/>
    </row>
    <row r="124" spans="2:26">
      <c r="B124" s="1">
        <v>4259057</v>
      </c>
      <c r="C124" s="1">
        <v>1290551</v>
      </c>
      <c r="D124" s="1">
        <v>2003723</v>
      </c>
      <c r="E124" s="1">
        <v>3162692</v>
      </c>
      <c r="F124" s="2"/>
      <c r="G124" s="1">
        <v>58008601</v>
      </c>
      <c r="H124" s="1">
        <v>1083184</v>
      </c>
      <c r="I124" s="1">
        <v>18269134</v>
      </c>
      <c r="J124" s="1">
        <v>8117483</v>
      </c>
      <c r="K124" s="2"/>
      <c r="L124" s="1">
        <v>53070729</v>
      </c>
      <c r="M124" s="1">
        <v>1138749</v>
      </c>
      <c r="N124" s="1">
        <v>3198255</v>
      </c>
      <c r="O124" s="14">
        <v>8605997</v>
      </c>
      <c r="P124" s="2"/>
      <c r="Q124" s="1">
        <v>4006193</v>
      </c>
      <c r="R124" s="1">
        <v>1108541</v>
      </c>
      <c r="S124" s="1">
        <v>4943244</v>
      </c>
      <c r="T124" s="1">
        <v>38812678</v>
      </c>
      <c r="U124" s="2"/>
      <c r="V124" s="9">
        <v>52390037</v>
      </c>
      <c r="W124" s="9">
        <v>1100583</v>
      </c>
      <c r="X124" s="9">
        <v>4470910</v>
      </c>
      <c r="Y124" s="9">
        <v>43264272</v>
      </c>
      <c r="Z124" s="7"/>
    </row>
    <row r="125" spans="2:26">
      <c r="B125" s="1">
        <v>4300301</v>
      </c>
      <c r="C125" s="1">
        <v>1265861</v>
      </c>
      <c r="D125" s="1">
        <v>1997541</v>
      </c>
      <c r="E125" s="1">
        <v>3316654</v>
      </c>
      <c r="F125" s="2"/>
      <c r="G125" s="1">
        <v>4391751</v>
      </c>
      <c r="H125" s="1">
        <v>1029037</v>
      </c>
      <c r="I125" s="1">
        <v>18123206</v>
      </c>
      <c r="J125" s="1">
        <v>5961341</v>
      </c>
      <c r="K125" s="2"/>
      <c r="L125" s="1">
        <v>3928892</v>
      </c>
      <c r="M125" s="1">
        <v>1118935</v>
      </c>
      <c r="N125" s="1">
        <v>2784122</v>
      </c>
      <c r="O125" s="14">
        <v>11330783</v>
      </c>
      <c r="P125" s="2"/>
      <c r="Q125" s="1">
        <v>3994813</v>
      </c>
      <c r="R125" s="1">
        <v>1106318</v>
      </c>
      <c r="S125" s="1">
        <v>18366621</v>
      </c>
      <c r="T125" s="1">
        <v>10609614</v>
      </c>
      <c r="U125" s="2"/>
      <c r="V125" s="9">
        <v>3973469</v>
      </c>
      <c r="W125" s="9">
        <v>1066894</v>
      </c>
      <c r="X125" s="9">
        <v>18124925</v>
      </c>
      <c r="Y125" s="9">
        <v>13802235</v>
      </c>
      <c r="Z125" s="7"/>
    </row>
    <row r="126" spans="2:26">
      <c r="B126" s="1">
        <v>4247434</v>
      </c>
      <c r="C126" s="1">
        <v>1255670</v>
      </c>
      <c r="D126" s="1">
        <v>1982775</v>
      </c>
      <c r="E126" s="1">
        <v>3158896</v>
      </c>
      <c r="F126" s="2"/>
      <c r="G126" s="1">
        <v>4397285</v>
      </c>
      <c r="H126" s="1">
        <v>1080840</v>
      </c>
      <c r="I126" s="1">
        <v>2836575</v>
      </c>
      <c r="J126" s="1">
        <v>8193617</v>
      </c>
      <c r="K126" s="2"/>
      <c r="L126" s="1">
        <v>4195531</v>
      </c>
      <c r="M126" s="1">
        <v>1168648</v>
      </c>
      <c r="N126" s="1">
        <v>3029573</v>
      </c>
      <c r="O126" s="14">
        <v>11550642</v>
      </c>
      <c r="P126" s="2"/>
      <c r="Q126" s="1">
        <v>4298920</v>
      </c>
      <c r="R126" s="1">
        <v>1104176</v>
      </c>
      <c r="S126" s="1">
        <v>4039064</v>
      </c>
      <c r="T126" s="1">
        <v>38770943</v>
      </c>
      <c r="U126" s="2"/>
      <c r="V126" s="9">
        <v>52932396</v>
      </c>
      <c r="W126" s="9">
        <v>1124728</v>
      </c>
      <c r="X126" s="9">
        <v>4427355</v>
      </c>
      <c r="Y126" s="9">
        <v>11451154</v>
      </c>
      <c r="Z126" s="7"/>
    </row>
    <row r="127" spans="2:26">
      <c r="B127" s="1">
        <v>4208796</v>
      </c>
      <c r="C127" s="1">
        <v>1318594</v>
      </c>
      <c r="D127" s="1">
        <v>1986939</v>
      </c>
      <c r="E127" s="1">
        <v>3190203</v>
      </c>
      <c r="F127" s="2"/>
      <c r="G127" s="1">
        <v>4387766</v>
      </c>
      <c r="H127" s="1">
        <v>1053644</v>
      </c>
      <c r="I127" s="1">
        <v>2777083</v>
      </c>
      <c r="J127" s="1">
        <v>8047675</v>
      </c>
      <c r="K127" s="2"/>
      <c r="L127" s="1">
        <v>50957063</v>
      </c>
      <c r="M127" s="1">
        <v>1093161</v>
      </c>
      <c r="N127" s="1">
        <v>3031806</v>
      </c>
      <c r="O127" s="14">
        <v>28934275</v>
      </c>
      <c r="P127" s="2"/>
      <c r="Q127" s="1">
        <v>4259866</v>
      </c>
      <c r="R127" s="1">
        <v>1094088</v>
      </c>
      <c r="S127" s="1">
        <v>18852093</v>
      </c>
      <c r="T127" s="1">
        <v>13150357</v>
      </c>
      <c r="U127" s="2"/>
      <c r="V127" s="9">
        <v>48501857</v>
      </c>
      <c r="W127" s="9">
        <v>1135730</v>
      </c>
      <c r="X127" s="9">
        <v>4432778</v>
      </c>
      <c r="Y127" s="9">
        <v>13952200</v>
      </c>
      <c r="Z127" s="7"/>
    </row>
    <row r="128" spans="2:26">
      <c r="B128" s="1">
        <v>4235487</v>
      </c>
      <c r="C128" s="1">
        <v>1109491</v>
      </c>
      <c r="D128" s="1">
        <v>1991255</v>
      </c>
      <c r="E128" s="1">
        <v>3191289</v>
      </c>
      <c r="F128" s="2"/>
      <c r="G128" s="1">
        <v>4138666</v>
      </c>
      <c r="H128" s="1">
        <v>1113172</v>
      </c>
      <c r="I128" s="1">
        <v>3059001</v>
      </c>
      <c r="J128" s="1">
        <v>10669802</v>
      </c>
      <c r="K128" s="2"/>
      <c r="L128" s="1">
        <v>4093343</v>
      </c>
      <c r="M128" s="1">
        <v>1096840</v>
      </c>
      <c r="N128" s="1">
        <v>3198659</v>
      </c>
      <c r="O128" s="14">
        <v>8348924</v>
      </c>
      <c r="P128" s="2"/>
      <c r="Q128" s="1">
        <v>4158510</v>
      </c>
      <c r="R128" s="1">
        <v>1127488</v>
      </c>
      <c r="S128" s="1">
        <v>3789470</v>
      </c>
      <c r="T128" s="1">
        <v>36725976</v>
      </c>
      <c r="U128" s="2"/>
      <c r="V128" s="9">
        <v>52540430</v>
      </c>
      <c r="W128" s="9">
        <v>1113571</v>
      </c>
      <c r="X128" s="9">
        <v>4646492</v>
      </c>
      <c r="Y128" s="9">
        <v>11520826</v>
      </c>
      <c r="Z128" s="7"/>
    </row>
    <row r="129" spans="1:26">
      <c r="B129" s="1">
        <v>4234155</v>
      </c>
      <c r="C129" s="1">
        <v>1176863</v>
      </c>
      <c r="D129" s="1">
        <v>1963390</v>
      </c>
      <c r="E129" s="1">
        <v>3219695</v>
      </c>
      <c r="F129" s="2"/>
      <c r="G129" s="1">
        <v>4335186</v>
      </c>
      <c r="H129" s="1">
        <v>1215652</v>
      </c>
      <c r="I129" s="1">
        <v>2812018</v>
      </c>
      <c r="J129" s="1">
        <v>6081553</v>
      </c>
      <c r="K129" s="2"/>
      <c r="L129" s="1">
        <v>47039577</v>
      </c>
      <c r="M129" s="1">
        <v>1109649</v>
      </c>
      <c r="N129" s="1">
        <v>3138493</v>
      </c>
      <c r="O129" s="14">
        <v>10861005</v>
      </c>
      <c r="P129" s="2"/>
      <c r="Q129" s="1">
        <v>3959266</v>
      </c>
      <c r="R129" s="1">
        <v>1068010</v>
      </c>
      <c r="S129" s="1">
        <v>4116999</v>
      </c>
      <c r="T129" s="1">
        <v>12826687</v>
      </c>
      <c r="U129" s="2"/>
      <c r="V129" s="9">
        <v>3827491</v>
      </c>
      <c r="W129" s="9">
        <v>1164081</v>
      </c>
      <c r="X129" s="9">
        <v>4293504</v>
      </c>
      <c r="Y129" s="9">
        <v>43540608</v>
      </c>
      <c r="Z129" s="7"/>
    </row>
    <row r="130" spans="1:26">
      <c r="B130" s="1">
        <v>4272300</v>
      </c>
      <c r="C130" s="1">
        <v>1272071</v>
      </c>
      <c r="D130" s="1">
        <v>1995748</v>
      </c>
      <c r="E130" s="1">
        <v>3164592</v>
      </c>
      <c r="F130" s="2"/>
      <c r="G130" s="1">
        <v>53850579</v>
      </c>
      <c r="H130" s="1">
        <v>1212310</v>
      </c>
      <c r="I130" s="1">
        <v>2642039</v>
      </c>
      <c r="J130" s="1">
        <v>10647869</v>
      </c>
      <c r="K130" s="2"/>
      <c r="L130" s="1">
        <v>4194543</v>
      </c>
      <c r="M130" s="1">
        <v>1197904</v>
      </c>
      <c r="N130" s="1">
        <v>3307894</v>
      </c>
      <c r="O130" s="14">
        <v>10679477</v>
      </c>
      <c r="P130" s="2"/>
      <c r="Q130" s="1">
        <v>4171037</v>
      </c>
      <c r="R130" s="1">
        <v>1069923</v>
      </c>
      <c r="S130" s="1">
        <v>4025952</v>
      </c>
      <c r="T130" s="1">
        <v>39323339</v>
      </c>
      <c r="U130" s="2"/>
      <c r="V130" s="9">
        <v>4469587</v>
      </c>
      <c r="W130" s="9">
        <v>1069277</v>
      </c>
      <c r="X130" s="9">
        <v>4412015</v>
      </c>
      <c r="Y130" s="9">
        <v>13794962</v>
      </c>
      <c r="Z130" s="7"/>
    </row>
    <row r="131" spans="1:26">
      <c r="B131" s="1">
        <v>4192113</v>
      </c>
      <c r="C131" s="1">
        <v>1283460</v>
      </c>
      <c r="D131" s="1">
        <v>1984194</v>
      </c>
      <c r="E131" s="1">
        <v>3130208</v>
      </c>
      <c r="F131" s="2"/>
      <c r="G131" s="1">
        <v>3824772</v>
      </c>
      <c r="H131" s="1">
        <v>1205743</v>
      </c>
      <c r="I131" s="1">
        <v>2642385</v>
      </c>
      <c r="J131" s="1">
        <v>8097350</v>
      </c>
      <c r="K131" s="2"/>
      <c r="L131" s="1">
        <v>4071285</v>
      </c>
      <c r="M131" s="1">
        <v>1096269</v>
      </c>
      <c r="N131" s="1">
        <v>3328445</v>
      </c>
      <c r="O131" s="14">
        <v>29134973</v>
      </c>
      <c r="P131" s="2"/>
      <c r="Q131" s="1">
        <v>4012146</v>
      </c>
      <c r="R131" s="1">
        <v>1075258</v>
      </c>
      <c r="S131" s="1">
        <v>19248831</v>
      </c>
      <c r="T131" s="1">
        <v>10624355</v>
      </c>
      <c r="U131" s="2"/>
      <c r="V131" s="9">
        <v>4050341</v>
      </c>
      <c r="W131" s="9">
        <v>1076038</v>
      </c>
      <c r="X131" s="9">
        <v>4337475</v>
      </c>
      <c r="Y131" s="9">
        <v>41180993</v>
      </c>
      <c r="Z131" s="7"/>
    </row>
    <row r="132" spans="1:26">
      <c r="B132" s="1">
        <v>4347418</v>
      </c>
      <c r="C132" s="1">
        <v>1362395</v>
      </c>
      <c r="D132" s="1">
        <v>1978118</v>
      </c>
      <c r="E132" s="1">
        <v>3166088</v>
      </c>
      <c r="F132" s="2"/>
      <c r="G132" s="1">
        <v>4133205</v>
      </c>
      <c r="H132" s="1">
        <v>1077028</v>
      </c>
      <c r="I132" s="1">
        <v>2685235</v>
      </c>
      <c r="J132" s="1">
        <v>9957085</v>
      </c>
      <c r="K132" s="2"/>
      <c r="L132" s="1">
        <v>4258507</v>
      </c>
      <c r="M132" s="1">
        <v>1060522</v>
      </c>
      <c r="N132" s="1">
        <v>19993147</v>
      </c>
      <c r="O132" s="14">
        <v>8783095</v>
      </c>
      <c r="P132" s="2"/>
      <c r="Q132" s="1">
        <v>4531479</v>
      </c>
      <c r="R132" s="1">
        <v>1062822</v>
      </c>
      <c r="S132" s="1">
        <v>4006908</v>
      </c>
      <c r="T132" s="1">
        <v>39176890</v>
      </c>
      <c r="U132" s="2"/>
      <c r="V132" s="9">
        <v>4042108</v>
      </c>
      <c r="W132" s="9">
        <v>1114178</v>
      </c>
      <c r="X132" s="9">
        <v>5234298</v>
      </c>
      <c r="Y132" s="9">
        <v>13981178</v>
      </c>
      <c r="Z132" s="7"/>
    </row>
    <row r="133" spans="1:26">
      <c r="B133" s="1">
        <v>4274390</v>
      </c>
      <c r="C133" s="1">
        <v>1197390</v>
      </c>
      <c r="D133" s="1">
        <v>1980068</v>
      </c>
      <c r="E133" s="1">
        <v>1126501</v>
      </c>
      <c r="F133" s="2"/>
      <c r="G133" s="1">
        <v>4323245</v>
      </c>
      <c r="H133" s="1">
        <v>1091011</v>
      </c>
      <c r="I133" s="1">
        <v>2619441</v>
      </c>
      <c r="J133" s="1">
        <v>15657764</v>
      </c>
      <c r="K133" s="2"/>
      <c r="L133" s="1">
        <v>4145888</v>
      </c>
      <c r="M133" s="1">
        <v>1114776</v>
      </c>
      <c r="N133" s="1">
        <v>18804126</v>
      </c>
      <c r="O133" s="14">
        <v>10901937</v>
      </c>
      <c r="P133" s="2"/>
      <c r="Q133" s="1">
        <v>4361565</v>
      </c>
      <c r="R133" s="1">
        <v>1013860</v>
      </c>
      <c r="S133" s="1">
        <v>18338401</v>
      </c>
      <c r="T133" s="1">
        <v>12974134</v>
      </c>
      <c r="U133" s="2"/>
      <c r="V133" s="9">
        <v>3981489</v>
      </c>
      <c r="W133" s="9">
        <v>1066244</v>
      </c>
      <c r="X133" s="9">
        <v>4423218</v>
      </c>
      <c r="Y133" s="9">
        <v>40857735</v>
      </c>
      <c r="Z133" s="7"/>
    </row>
    <row r="134" spans="1:26">
      <c r="B134" s="1">
        <v>4217200</v>
      </c>
      <c r="C134" s="1">
        <v>1134036</v>
      </c>
      <c r="D134" s="1">
        <v>1983506</v>
      </c>
      <c r="E134" s="1">
        <v>3124070</v>
      </c>
      <c r="F134" s="2"/>
      <c r="G134" s="1">
        <v>4298457</v>
      </c>
      <c r="H134" s="1">
        <v>1083852</v>
      </c>
      <c r="I134" s="1">
        <v>2232349</v>
      </c>
      <c r="J134" s="1">
        <v>10597134</v>
      </c>
      <c r="K134" s="2"/>
      <c r="L134" s="1">
        <v>4395636</v>
      </c>
      <c r="M134" s="1">
        <v>1109415</v>
      </c>
      <c r="N134" s="1">
        <v>18259132</v>
      </c>
      <c r="O134" s="14">
        <v>10981398</v>
      </c>
      <c r="P134" s="2"/>
      <c r="Q134" s="1">
        <v>4276020</v>
      </c>
      <c r="R134" s="1">
        <v>1078512</v>
      </c>
      <c r="S134" s="1">
        <v>4016162</v>
      </c>
      <c r="T134" s="1">
        <v>10720669</v>
      </c>
      <c r="U134" s="2"/>
      <c r="V134" s="9">
        <v>4216892</v>
      </c>
      <c r="W134" s="9">
        <v>1068875</v>
      </c>
      <c r="X134" s="9">
        <v>4664564</v>
      </c>
      <c r="Y134" s="9">
        <v>13673481</v>
      </c>
      <c r="Z134" s="7"/>
    </row>
    <row r="135" spans="1:26">
      <c r="B135" s="1">
        <v>4193687</v>
      </c>
      <c r="C135" s="1">
        <v>1205631</v>
      </c>
      <c r="D135" s="1">
        <v>1990710</v>
      </c>
      <c r="E135" s="1">
        <v>3182727</v>
      </c>
      <c r="F135" s="2"/>
      <c r="G135" s="1">
        <v>53128055</v>
      </c>
      <c r="H135" s="1">
        <v>1074905</v>
      </c>
      <c r="I135" s="1">
        <v>2804126</v>
      </c>
      <c r="J135" s="1">
        <v>8019620</v>
      </c>
      <c r="K135" s="2"/>
      <c r="L135" s="1">
        <v>4360672</v>
      </c>
      <c r="M135" s="1">
        <v>1091828</v>
      </c>
      <c r="N135" s="1">
        <v>3223897</v>
      </c>
      <c r="O135" s="14">
        <v>8806817</v>
      </c>
      <c r="P135" s="2"/>
      <c r="Q135" s="1">
        <v>4235346</v>
      </c>
      <c r="R135" s="1">
        <v>1092325</v>
      </c>
      <c r="S135" s="1">
        <v>4280241</v>
      </c>
      <c r="T135" s="1">
        <v>12940399</v>
      </c>
      <c r="U135" s="2"/>
      <c r="V135" s="9">
        <v>4211696</v>
      </c>
      <c r="W135" s="9">
        <v>1072510</v>
      </c>
      <c r="X135" s="9">
        <v>4529483</v>
      </c>
      <c r="Y135" s="9">
        <v>11635709</v>
      </c>
      <c r="Z135" s="7"/>
    </row>
    <row r="136" spans="1:26">
      <c r="B136" s="1">
        <v>3960404</v>
      </c>
      <c r="C136" s="1">
        <v>1218594</v>
      </c>
      <c r="D136" s="1">
        <v>1991092</v>
      </c>
      <c r="E136" s="1">
        <v>3194574</v>
      </c>
      <c r="F136" s="2"/>
      <c r="G136" s="1">
        <v>3713302</v>
      </c>
      <c r="H136" s="1">
        <v>1088525</v>
      </c>
      <c r="I136" s="1">
        <v>2769610</v>
      </c>
      <c r="J136" s="1">
        <v>12567905</v>
      </c>
      <c r="K136" s="2"/>
      <c r="L136" s="1">
        <v>4429857</v>
      </c>
      <c r="M136" s="1">
        <v>1042161</v>
      </c>
      <c r="N136" s="1">
        <v>3254745</v>
      </c>
      <c r="O136" s="14">
        <v>28623986</v>
      </c>
      <c r="P136" s="2"/>
      <c r="Q136" s="1">
        <v>4121577</v>
      </c>
      <c r="R136" s="1">
        <v>1069815</v>
      </c>
      <c r="S136" s="1">
        <v>4064911</v>
      </c>
      <c r="T136" s="1">
        <v>10582473</v>
      </c>
      <c r="U136" s="2"/>
      <c r="V136" s="9">
        <v>4329120</v>
      </c>
      <c r="W136" s="9">
        <v>1067945</v>
      </c>
      <c r="X136" s="9">
        <v>4536982</v>
      </c>
      <c r="Y136" s="9">
        <v>13901948</v>
      </c>
      <c r="Z136" s="7"/>
    </row>
    <row r="137" spans="1:26">
      <c r="B137" s="1">
        <v>4231301</v>
      </c>
      <c r="C137" s="1">
        <v>1228645</v>
      </c>
      <c r="D137" s="1">
        <v>2518353</v>
      </c>
      <c r="E137" s="1">
        <v>3164053</v>
      </c>
      <c r="F137" s="2"/>
      <c r="G137" s="1">
        <v>4231323</v>
      </c>
      <c r="H137" s="1">
        <v>1074684</v>
      </c>
      <c r="I137" s="1">
        <v>2749104</v>
      </c>
      <c r="J137" s="1">
        <v>9588610</v>
      </c>
      <c r="K137" s="2"/>
      <c r="L137" s="1">
        <v>4244611</v>
      </c>
      <c r="M137" s="1">
        <v>1108387</v>
      </c>
      <c r="N137" s="1">
        <v>3365539</v>
      </c>
      <c r="O137" s="14">
        <v>10809674</v>
      </c>
      <c r="P137" s="2"/>
      <c r="Q137" s="1">
        <v>4120030</v>
      </c>
      <c r="R137" s="1">
        <v>1103841</v>
      </c>
      <c r="S137" s="1">
        <v>3972869</v>
      </c>
      <c r="T137" s="1">
        <v>12980066</v>
      </c>
      <c r="U137" s="2"/>
      <c r="V137" s="9">
        <v>49860980</v>
      </c>
      <c r="W137" s="9">
        <v>1031666</v>
      </c>
      <c r="X137" s="9">
        <v>4570914</v>
      </c>
      <c r="Y137" s="9">
        <v>13798590</v>
      </c>
      <c r="Z137" s="7"/>
    </row>
    <row r="138" spans="1:26">
      <c r="B138" s="1">
        <v>4226498</v>
      </c>
      <c r="C138" s="1">
        <v>1272963</v>
      </c>
      <c r="D138" s="1">
        <v>1977590</v>
      </c>
      <c r="E138" s="1">
        <v>3164475</v>
      </c>
      <c r="F138" s="2"/>
      <c r="G138" s="1">
        <v>4420107</v>
      </c>
      <c r="H138" s="1">
        <v>1069751</v>
      </c>
      <c r="I138" s="1">
        <v>2463665</v>
      </c>
      <c r="J138" s="1">
        <v>7197566</v>
      </c>
      <c r="K138" s="2"/>
      <c r="L138" s="1">
        <v>52549851</v>
      </c>
      <c r="M138" s="1">
        <v>1072186</v>
      </c>
      <c r="N138" s="1">
        <v>3928712</v>
      </c>
      <c r="O138" s="14">
        <v>28135545</v>
      </c>
      <c r="P138" s="2"/>
      <c r="Q138" s="1">
        <v>4221670</v>
      </c>
      <c r="R138" s="1">
        <v>1048817</v>
      </c>
      <c r="S138" s="1">
        <v>4042163</v>
      </c>
      <c r="T138" s="1">
        <v>12882989</v>
      </c>
      <c r="U138" s="2"/>
      <c r="V138" s="9">
        <v>3950662</v>
      </c>
      <c r="W138" s="9">
        <v>1038114</v>
      </c>
      <c r="X138" s="9">
        <v>4609728</v>
      </c>
      <c r="Y138" s="9">
        <v>41492178</v>
      </c>
      <c r="Z138" s="7"/>
    </row>
    <row r="139" spans="1:26">
      <c r="B139" s="1">
        <v>4190464</v>
      </c>
      <c r="C139" s="1">
        <v>1166310</v>
      </c>
      <c r="D139" s="1">
        <v>2005495</v>
      </c>
      <c r="E139" s="1">
        <v>3193887</v>
      </c>
      <c r="F139" s="2"/>
      <c r="G139" s="1">
        <v>4190036</v>
      </c>
      <c r="H139" s="1">
        <v>1066596</v>
      </c>
      <c r="I139" s="1">
        <v>2664793</v>
      </c>
      <c r="J139" s="1">
        <v>9540328</v>
      </c>
      <c r="K139" s="2"/>
      <c r="L139" s="1">
        <v>3828922</v>
      </c>
      <c r="M139" s="1">
        <v>1127136</v>
      </c>
      <c r="N139" s="1">
        <v>3092010</v>
      </c>
      <c r="O139" s="14">
        <v>28350557</v>
      </c>
      <c r="P139" s="2"/>
      <c r="Q139" s="1">
        <v>52600874</v>
      </c>
      <c r="R139" s="1">
        <v>1061766</v>
      </c>
      <c r="S139" s="1">
        <v>4162447</v>
      </c>
      <c r="T139" s="1">
        <v>10698313</v>
      </c>
      <c r="U139" s="2"/>
      <c r="V139" s="9">
        <v>3822140</v>
      </c>
      <c r="W139" s="9">
        <v>1093955</v>
      </c>
      <c r="X139" s="9">
        <v>5012538</v>
      </c>
      <c r="Y139" s="9">
        <v>13777949</v>
      </c>
      <c r="Z139" s="7"/>
    </row>
    <row r="140" spans="1:26">
      <c r="B140" s="1">
        <v>4192571</v>
      </c>
      <c r="C140" s="1">
        <v>1170342</v>
      </c>
      <c r="D140" s="1">
        <v>1992265</v>
      </c>
      <c r="E140" s="1">
        <v>3207574</v>
      </c>
      <c r="F140" s="2"/>
      <c r="G140" s="1">
        <v>4172043</v>
      </c>
      <c r="H140" s="1">
        <v>1071100</v>
      </c>
      <c r="I140" s="1">
        <v>16084930</v>
      </c>
      <c r="J140" s="1">
        <v>12442622</v>
      </c>
      <c r="K140" s="2"/>
      <c r="L140" s="1">
        <v>53024093</v>
      </c>
      <c r="M140" s="1">
        <v>1027279</v>
      </c>
      <c r="N140" s="1">
        <v>18461122</v>
      </c>
      <c r="O140" s="14">
        <v>11062230</v>
      </c>
      <c r="P140" s="2"/>
      <c r="Q140" s="1">
        <v>48154708</v>
      </c>
      <c r="R140" s="1">
        <v>1056588</v>
      </c>
      <c r="S140" s="1">
        <v>18601048</v>
      </c>
      <c r="T140" s="1">
        <v>12991895</v>
      </c>
      <c r="U140" s="2"/>
      <c r="V140" s="9">
        <v>4074233</v>
      </c>
      <c r="W140" s="9">
        <v>1121421</v>
      </c>
      <c r="X140" s="9">
        <v>4454911</v>
      </c>
      <c r="Y140" s="9">
        <v>11454398</v>
      </c>
      <c r="Z140" s="7"/>
    </row>
    <row r="141" spans="1:26">
      <c r="B141" s="1">
        <v>3666412</v>
      </c>
      <c r="C141" s="1">
        <v>1147511</v>
      </c>
      <c r="D141" s="1">
        <v>2042152</v>
      </c>
      <c r="E141" s="1">
        <v>3182315</v>
      </c>
      <c r="F141" s="2"/>
      <c r="G141" s="1">
        <v>58676340</v>
      </c>
      <c r="H141" s="1">
        <v>1042860</v>
      </c>
      <c r="I141" s="1">
        <v>2684096</v>
      </c>
      <c r="J141" s="1">
        <v>7101786</v>
      </c>
      <c r="K141" s="2"/>
      <c r="L141" s="1">
        <v>50468616</v>
      </c>
      <c r="M141" s="1">
        <v>1126949</v>
      </c>
      <c r="N141" s="1">
        <v>18853457</v>
      </c>
      <c r="O141" s="14">
        <v>8465901</v>
      </c>
      <c r="P141" s="2"/>
      <c r="Q141" s="1">
        <v>3780174</v>
      </c>
      <c r="R141" s="1">
        <v>1057278</v>
      </c>
      <c r="S141" s="1">
        <v>4143029</v>
      </c>
      <c r="T141" s="1">
        <v>10602729</v>
      </c>
      <c r="U141" s="2"/>
      <c r="V141" s="9">
        <v>4010446</v>
      </c>
      <c r="W141" s="9">
        <v>1038215</v>
      </c>
      <c r="X141" s="9">
        <v>4668864</v>
      </c>
      <c r="Y141" s="9">
        <v>13842286</v>
      </c>
      <c r="Z141" s="7"/>
    </row>
    <row r="142" spans="1:26">
      <c r="B142" s="1">
        <v>3514941</v>
      </c>
      <c r="C142" s="1">
        <v>1154716</v>
      </c>
      <c r="D142" s="1">
        <v>1993408</v>
      </c>
      <c r="E142" s="1">
        <v>3150367</v>
      </c>
      <c r="F142" s="2"/>
      <c r="G142" s="1">
        <v>3850952</v>
      </c>
      <c r="H142" s="1">
        <v>1056531</v>
      </c>
      <c r="I142" s="1">
        <v>2710930</v>
      </c>
      <c r="J142" s="1">
        <v>8661454</v>
      </c>
      <c r="K142" s="2"/>
      <c r="L142" s="1">
        <v>3895264</v>
      </c>
      <c r="M142" s="1">
        <v>1099256</v>
      </c>
      <c r="N142" s="1">
        <v>2874303</v>
      </c>
      <c r="O142" s="14">
        <v>10836792</v>
      </c>
      <c r="P142" s="2"/>
      <c r="Q142" s="1">
        <v>4277459</v>
      </c>
      <c r="R142" s="1">
        <v>1070180</v>
      </c>
      <c r="S142" s="1">
        <v>3968297</v>
      </c>
      <c r="T142" s="1">
        <v>12830615</v>
      </c>
      <c r="U142" s="2"/>
      <c r="V142" s="9">
        <v>4286822</v>
      </c>
      <c r="W142" s="9">
        <v>1065143</v>
      </c>
      <c r="X142" s="9">
        <v>17346297</v>
      </c>
      <c r="Y142" s="9">
        <v>11508366</v>
      </c>
      <c r="Z142" s="7"/>
    </row>
    <row r="143" spans="1:26">
      <c r="B143" s="1">
        <v>4255605</v>
      </c>
      <c r="C143" s="1">
        <v>1152960</v>
      </c>
      <c r="D143" s="1">
        <v>2005081</v>
      </c>
      <c r="E143" s="1">
        <v>3170462</v>
      </c>
      <c r="F143" s="2"/>
      <c r="G143" s="1">
        <v>4277788</v>
      </c>
      <c r="H143" s="1">
        <v>1067803</v>
      </c>
      <c r="I143" s="1">
        <v>2690150</v>
      </c>
      <c r="J143" s="1">
        <v>8348609</v>
      </c>
      <c r="K143" s="2"/>
      <c r="L143" s="1">
        <v>4458720</v>
      </c>
      <c r="M143" s="1">
        <v>1108368</v>
      </c>
      <c r="N143" s="1">
        <v>3255741</v>
      </c>
      <c r="O143" s="14">
        <v>11007182</v>
      </c>
      <c r="P143" s="2"/>
      <c r="Q143" s="1">
        <v>4368841</v>
      </c>
      <c r="R143" s="1">
        <v>1057493</v>
      </c>
      <c r="S143" s="1">
        <v>19037536</v>
      </c>
      <c r="T143" s="1">
        <v>39267987</v>
      </c>
      <c r="U143" s="2"/>
      <c r="V143" s="9">
        <v>4115347</v>
      </c>
      <c r="W143" s="9">
        <v>1083963</v>
      </c>
      <c r="X143" s="9">
        <v>18128791</v>
      </c>
      <c r="Y143" s="9">
        <v>13746122</v>
      </c>
      <c r="Z143" s="7"/>
    </row>
    <row r="144" spans="1:26">
      <c r="A144" s="6" t="s">
        <v>10</v>
      </c>
      <c r="B144" s="3">
        <f>AVERAGE(B114:B143)</f>
        <v>4150145.5333333332</v>
      </c>
      <c r="C144" s="3">
        <f>AVERAGE(C114:C143)</f>
        <v>1213799.5666666667</v>
      </c>
      <c r="D144" s="3">
        <f>AVERAGE(D114:D143)</f>
        <v>2026459.8333333333</v>
      </c>
      <c r="E144" s="3">
        <f>AVERAGE(E114:E143)</f>
        <v>3066932.6333333333</v>
      </c>
      <c r="F144" s="2"/>
      <c r="G144" s="3">
        <f>AVERAGE(G114:G143)</f>
        <v>18118152.433333334</v>
      </c>
      <c r="H144" s="3">
        <f>AVERAGE(H114:H143)</f>
        <v>1099939.2666666666</v>
      </c>
      <c r="I144" s="3">
        <f>AVERAGE(I114:I143)</f>
        <v>4612067.666666667</v>
      </c>
      <c r="J144" s="3">
        <f>AVERAGE(J114:J143)</f>
        <v>8776908.0999999996</v>
      </c>
      <c r="K144" s="2"/>
      <c r="L144" s="3">
        <f>AVERAGE(L114:L143)</f>
        <v>26157941.266666666</v>
      </c>
      <c r="M144" s="3">
        <f>AVERAGE(M114:M143)</f>
        <v>1103606.8</v>
      </c>
      <c r="N144" s="3">
        <f>AVERAGE(N114:N143)</f>
        <v>6340739.6333333338</v>
      </c>
      <c r="O144" s="3">
        <f>AVERAGE(O114:O143)</f>
        <v>15083005.766666668</v>
      </c>
      <c r="P144" s="2"/>
      <c r="Q144" s="3">
        <f>AVERAGE(Q114:Q143)</f>
        <v>11914620.066666666</v>
      </c>
      <c r="R144" s="3">
        <f>AVERAGE(R114:R143)</f>
        <v>1078264.3333333333</v>
      </c>
      <c r="S144" s="3">
        <f>AVERAGE(S114:S143)</f>
        <v>9448166.7666666675</v>
      </c>
      <c r="T144" s="3">
        <f>AVERAGE(T114:T143)</f>
        <v>20001529.733333334</v>
      </c>
      <c r="U144" s="2"/>
      <c r="V144" s="11">
        <f>AVERAGE(V114:V143)</f>
        <v>19680356.366666667</v>
      </c>
      <c r="W144" s="11">
        <f>AVERAGE(W114:W143)</f>
        <v>1097460.4333333333</v>
      </c>
      <c r="X144" s="11">
        <f>AVERAGE(X114:X143)</f>
        <v>6796339.0333333332</v>
      </c>
      <c r="Y144" s="11">
        <f>AVERAGE(Y114:Y143)</f>
        <v>20796824.966666665</v>
      </c>
      <c r="Z144" s="7"/>
    </row>
    <row r="146" spans="2:31" thickBot="1"/>
    <row r="147" spans="2:31" s="7" customFormat="1" ht="16.5" customHeight="1" thickBot="1">
      <c r="B147" s="66" t="s">
        <v>39</v>
      </c>
      <c r="C147" s="67"/>
      <c r="D147" s="67"/>
      <c r="E147" s="68"/>
      <c r="G147" s="66" t="s">
        <v>39</v>
      </c>
      <c r="H147" s="67"/>
      <c r="I147" s="67"/>
      <c r="J147" s="68"/>
      <c r="L147" s="66" t="s">
        <v>39</v>
      </c>
      <c r="M147" s="67"/>
      <c r="N147" s="67"/>
      <c r="O147" s="68"/>
      <c r="Q147" s="66" t="s">
        <v>39</v>
      </c>
      <c r="R147" s="67"/>
      <c r="S147" s="67"/>
      <c r="T147" s="68"/>
      <c r="V147" s="66" t="s">
        <v>39</v>
      </c>
      <c r="W147" s="67"/>
      <c r="X147" s="67"/>
      <c r="Y147" s="68"/>
      <c r="AA147" s="20"/>
      <c r="AB147" s="20"/>
      <c r="AC147" s="20"/>
      <c r="AD147" s="20"/>
      <c r="AE147" s="20"/>
    </row>
    <row r="148" spans="2:31" s="7" customFormat="1" ht="13.5" customHeight="1" thickBot="1">
      <c r="B148" s="63" t="s">
        <v>26</v>
      </c>
      <c r="C148" s="64"/>
      <c r="D148" s="64"/>
      <c r="E148" s="65"/>
      <c r="G148" s="59" t="s">
        <v>27</v>
      </c>
      <c r="H148" s="59"/>
      <c r="I148" s="59"/>
      <c r="J148" s="59"/>
      <c r="L148" s="59" t="s">
        <v>28</v>
      </c>
      <c r="M148" s="59"/>
      <c r="N148" s="59"/>
      <c r="O148" s="59"/>
      <c r="Q148" s="59" t="s">
        <v>29</v>
      </c>
      <c r="R148" s="59"/>
      <c r="S148" s="59"/>
      <c r="T148" s="59"/>
      <c r="V148" s="59" t="s">
        <v>30</v>
      </c>
      <c r="W148" s="59"/>
      <c r="X148" s="59"/>
      <c r="Y148" s="59"/>
      <c r="AA148" s="21"/>
      <c r="AB148" s="21"/>
      <c r="AC148" s="21"/>
      <c r="AD148" s="21"/>
      <c r="AE148" s="21"/>
    </row>
    <row r="149" spans="2:31" s="7" customFormat="1" ht="45.75" thickBot="1">
      <c r="B149" s="28" t="s">
        <v>6</v>
      </c>
      <c r="C149" s="44" t="s">
        <v>7</v>
      </c>
      <c r="D149" s="43" t="s">
        <v>8</v>
      </c>
      <c r="E149" s="43" t="s">
        <v>9</v>
      </c>
      <c r="G149" s="28" t="s">
        <v>6</v>
      </c>
      <c r="H149" s="44" t="s">
        <v>7</v>
      </c>
      <c r="I149" s="43" t="s">
        <v>8</v>
      </c>
      <c r="J149" s="43" t="s">
        <v>9</v>
      </c>
      <c r="L149" s="28" t="s">
        <v>6</v>
      </c>
      <c r="M149" s="44" t="s">
        <v>7</v>
      </c>
      <c r="N149" s="43" t="s">
        <v>8</v>
      </c>
      <c r="O149" s="43" t="s">
        <v>9</v>
      </c>
      <c r="Q149" s="28" t="s">
        <v>6</v>
      </c>
      <c r="R149" s="44" t="s">
        <v>7</v>
      </c>
      <c r="S149" s="43" t="s">
        <v>8</v>
      </c>
      <c r="T149" s="43" t="s">
        <v>9</v>
      </c>
      <c r="V149" s="28" t="s">
        <v>6</v>
      </c>
      <c r="W149" s="44" t="s">
        <v>7</v>
      </c>
      <c r="X149" s="43" t="s">
        <v>8</v>
      </c>
      <c r="Y149" s="43" t="s">
        <v>9</v>
      </c>
    </row>
    <row r="150" spans="2:31">
      <c r="B150" s="1">
        <v>14369614</v>
      </c>
      <c r="C150" s="1">
        <v>4687316</v>
      </c>
      <c r="D150" s="1">
        <v>6888318</v>
      </c>
      <c r="E150" s="1">
        <v>10833970</v>
      </c>
      <c r="F150" s="2"/>
      <c r="G150" s="1">
        <v>12825709</v>
      </c>
      <c r="H150" s="1">
        <v>3883050</v>
      </c>
      <c r="I150" s="1">
        <v>9302795</v>
      </c>
      <c r="J150" s="1">
        <v>25224212</v>
      </c>
      <c r="K150" s="2"/>
      <c r="L150" s="1">
        <v>172525022</v>
      </c>
      <c r="M150" s="1">
        <v>3673197</v>
      </c>
      <c r="N150" s="1">
        <v>12336449</v>
      </c>
      <c r="O150" s="14">
        <v>97374418</v>
      </c>
      <c r="P150" s="2"/>
      <c r="Q150" s="1">
        <v>13404093</v>
      </c>
      <c r="R150" s="1">
        <v>3593894</v>
      </c>
      <c r="S150" s="1">
        <v>63537490</v>
      </c>
      <c r="T150" s="1">
        <v>40889673</v>
      </c>
      <c r="U150" s="2"/>
      <c r="V150" s="9">
        <v>175191613</v>
      </c>
      <c r="W150" s="9">
        <v>3767381</v>
      </c>
      <c r="X150" s="9">
        <v>59997556</v>
      </c>
      <c r="Y150" s="9">
        <v>42024448</v>
      </c>
      <c r="Z150" s="7"/>
    </row>
    <row r="151" spans="2:31">
      <c r="B151" s="1">
        <v>13399718</v>
      </c>
      <c r="C151" s="1">
        <v>4514120</v>
      </c>
      <c r="D151" s="1">
        <v>6872510</v>
      </c>
      <c r="E151" s="1">
        <v>8371888</v>
      </c>
      <c r="F151" s="2"/>
      <c r="G151" s="1">
        <v>188154250</v>
      </c>
      <c r="H151" s="1">
        <v>3877197</v>
      </c>
      <c r="I151" s="1">
        <v>9222082</v>
      </c>
      <c r="J151" s="1">
        <v>26965462</v>
      </c>
      <c r="K151" s="2"/>
      <c r="L151" s="1">
        <v>12894255</v>
      </c>
      <c r="M151" s="1">
        <v>3823305</v>
      </c>
      <c r="N151" s="1">
        <v>9885865</v>
      </c>
      <c r="O151" s="14">
        <v>35535080</v>
      </c>
      <c r="P151" s="2"/>
      <c r="Q151" s="1">
        <v>12420777</v>
      </c>
      <c r="R151" s="1">
        <v>3855365</v>
      </c>
      <c r="S151" s="1">
        <v>13309646</v>
      </c>
      <c r="T151" s="1">
        <v>39300214</v>
      </c>
      <c r="U151" s="2"/>
      <c r="V151" s="9">
        <v>13716819</v>
      </c>
      <c r="W151" s="9">
        <v>3835335</v>
      </c>
      <c r="X151" s="9">
        <v>60179902</v>
      </c>
      <c r="Y151" s="9">
        <v>44673119</v>
      </c>
      <c r="Z151" s="7"/>
    </row>
    <row r="152" spans="2:31">
      <c r="B152" s="1">
        <v>13604479</v>
      </c>
      <c r="C152" s="1">
        <v>4216067</v>
      </c>
      <c r="D152" s="1">
        <v>7483945</v>
      </c>
      <c r="E152" s="1">
        <v>10818369</v>
      </c>
      <c r="F152" s="2"/>
      <c r="G152" s="1">
        <v>188571263</v>
      </c>
      <c r="H152" s="1">
        <v>3785615</v>
      </c>
      <c r="I152" s="1">
        <v>61581922</v>
      </c>
      <c r="J152" s="1">
        <v>25258606</v>
      </c>
      <c r="K152" s="2"/>
      <c r="L152" s="1">
        <v>12889639</v>
      </c>
      <c r="M152" s="1">
        <v>3852123</v>
      </c>
      <c r="N152" s="1">
        <v>62402813</v>
      </c>
      <c r="O152" s="14">
        <v>96345939</v>
      </c>
      <c r="P152" s="2"/>
      <c r="Q152" s="1">
        <v>12279498</v>
      </c>
      <c r="R152" s="1">
        <v>3706113</v>
      </c>
      <c r="S152" s="1">
        <v>62826606</v>
      </c>
      <c r="T152" s="1">
        <v>41278330</v>
      </c>
      <c r="U152" s="2"/>
      <c r="V152" s="9">
        <v>12869188</v>
      </c>
      <c r="W152" s="9">
        <v>3844757</v>
      </c>
      <c r="X152" s="9">
        <v>16603295</v>
      </c>
      <c r="Y152" s="9">
        <v>42083896</v>
      </c>
      <c r="Z152" s="7"/>
    </row>
    <row r="153" spans="2:31">
      <c r="B153" s="1">
        <v>11008623</v>
      </c>
      <c r="C153" s="1">
        <v>4752918</v>
      </c>
      <c r="D153" s="1">
        <v>6873831</v>
      </c>
      <c r="E153" s="1">
        <v>10850609</v>
      </c>
      <c r="F153" s="2"/>
      <c r="G153" s="1">
        <v>13501137</v>
      </c>
      <c r="H153" s="1">
        <v>3868934</v>
      </c>
      <c r="I153" s="1">
        <v>8137435</v>
      </c>
      <c r="J153" s="1">
        <v>25569945</v>
      </c>
      <c r="K153" s="2"/>
      <c r="L153" s="1">
        <v>169069264</v>
      </c>
      <c r="M153" s="1">
        <v>3746669</v>
      </c>
      <c r="N153" s="1">
        <v>9761451</v>
      </c>
      <c r="O153" s="14">
        <v>34416219</v>
      </c>
      <c r="P153" s="2"/>
      <c r="Q153" s="1">
        <v>13585014</v>
      </c>
      <c r="R153" s="1">
        <v>3675632</v>
      </c>
      <c r="S153" s="1">
        <v>12713269</v>
      </c>
      <c r="T153" s="1">
        <v>46478730</v>
      </c>
      <c r="U153" s="2"/>
      <c r="V153" s="9">
        <v>12097436</v>
      </c>
      <c r="W153" s="9">
        <v>3777457</v>
      </c>
      <c r="X153" s="9">
        <v>15977758</v>
      </c>
      <c r="Y153" s="9">
        <v>144039423</v>
      </c>
      <c r="Z153" s="7"/>
    </row>
    <row r="154" spans="2:31">
      <c r="B154" s="1">
        <v>13160814</v>
      </c>
      <c r="C154" s="1">
        <v>4696872</v>
      </c>
      <c r="D154" s="1">
        <v>6907412</v>
      </c>
      <c r="E154" s="1">
        <v>10728194</v>
      </c>
      <c r="F154" s="2"/>
      <c r="G154" s="1">
        <v>13962098</v>
      </c>
      <c r="H154" s="1">
        <v>3963752</v>
      </c>
      <c r="I154" s="1">
        <v>60580400</v>
      </c>
      <c r="J154" s="1">
        <v>24953232</v>
      </c>
      <c r="K154" s="2"/>
      <c r="L154" s="1">
        <v>12824539</v>
      </c>
      <c r="M154" s="1">
        <v>3770959</v>
      </c>
      <c r="N154" s="1">
        <v>66463939</v>
      </c>
      <c r="O154" s="14">
        <v>33788637</v>
      </c>
      <c r="P154" s="2"/>
      <c r="Q154" s="1">
        <v>12595576</v>
      </c>
      <c r="R154" s="1">
        <v>3841932</v>
      </c>
      <c r="S154" s="1">
        <v>14329041</v>
      </c>
      <c r="T154" s="1">
        <v>127898561</v>
      </c>
      <c r="U154" s="2"/>
      <c r="V154" s="9">
        <v>165545584</v>
      </c>
      <c r="W154" s="9">
        <v>3750910</v>
      </c>
      <c r="X154" s="9">
        <v>60937749</v>
      </c>
      <c r="Y154" s="9">
        <v>42295416</v>
      </c>
      <c r="Z154" s="7"/>
    </row>
    <row r="155" spans="2:31">
      <c r="B155" s="1">
        <v>12801346</v>
      </c>
      <c r="C155" s="1">
        <v>4479748</v>
      </c>
      <c r="D155" s="1">
        <v>6904953</v>
      </c>
      <c r="E155" s="1">
        <v>10721346</v>
      </c>
      <c r="F155" s="2"/>
      <c r="G155" s="1">
        <v>12322268</v>
      </c>
      <c r="H155" s="1">
        <v>3737401</v>
      </c>
      <c r="I155" s="1">
        <v>61052205</v>
      </c>
      <c r="J155" s="1">
        <v>25168340</v>
      </c>
      <c r="K155" s="2"/>
      <c r="L155" s="1">
        <v>13768373</v>
      </c>
      <c r="M155" s="1">
        <v>3807579</v>
      </c>
      <c r="N155" s="1">
        <v>10633354</v>
      </c>
      <c r="O155" s="14">
        <v>34500373</v>
      </c>
      <c r="P155" s="2"/>
      <c r="Q155" s="1">
        <v>12596626</v>
      </c>
      <c r="R155" s="1">
        <v>3758201</v>
      </c>
      <c r="S155" s="1">
        <v>13307083</v>
      </c>
      <c r="T155" s="1">
        <v>41115181</v>
      </c>
      <c r="U155" s="2"/>
      <c r="V155" s="9">
        <v>12962497</v>
      </c>
      <c r="W155" s="9">
        <v>3793224</v>
      </c>
      <c r="X155" s="9">
        <v>60746271</v>
      </c>
      <c r="Y155" s="9">
        <v>45019754</v>
      </c>
      <c r="Z155" s="7"/>
    </row>
    <row r="156" spans="2:31">
      <c r="B156" s="1">
        <v>14433057</v>
      </c>
      <c r="C156" s="1">
        <v>4393778</v>
      </c>
      <c r="D156" s="1">
        <v>6896106</v>
      </c>
      <c r="E156" s="1">
        <v>10055218</v>
      </c>
      <c r="F156" s="2"/>
      <c r="G156" s="1">
        <v>13628262</v>
      </c>
      <c r="H156" s="1">
        <v>3787775</v>
      </c>
      <c r="I156" s="1">
        <v>8092017</v>
      </c>
      <c r="J156" s="1">
        <v>25387971</v>
      </c>
      <c r="K156" s="2"/>
      <c r="L156" s="1">
        <v>175689445</v>
      </c>
      <c r="M156" s="1">
        <v>3729434</v>
      </c>
      <c r="N156" s="1">
        <v>61524304</v>
      </c>
      <c r="O156" s="14">
        <v>35773988</v>
      </c>
      <c r="P156" s="2"/>
      <c r="Q156" s="1">
        <v>173547298</v>
      </c>
      <c r="R156" s="1">
        <v>3732310</v>
      </c>
      <c r="S156" s="1">
        <v>63274621</v>
      </c>
      <c r="T156" s="1">
        <v>41286097</v>
      </c>
      <c r="U156" s="2"/>
      <c r="V156" s="9">
        <v>166187378</v>
      </c>
      <c r="W156" s="9">
        <v>3738191</v>
      </c>
      <c r="X156" s="9">
        <v>14538888</v>
      </c>
      <c r="Y156" s="9">
        <v>42078511</v>
      </c>
      <c r="Z156" s="7"/>
    </row>
    <row r="157" spans="2:31">
      <c r="B157" s="1">
        <v>14493670</v>
      </c>
      <c r="C157" s="1">
        <v>4419431</v>
      </c>
      <c r="D157" s="1">
        <v>7497402</v>
      </c>
      <c r="E157" s="1">
        <v>6716823</v>
      </c>
      <c r="F157" s="2"/>
      <c r="G157" s="1">
        <v>12819613</v>
      </c>
      <c r="H157" s="1">
        <v>3745348</v>
      </c>
      <c r="I157" s="1">
        <v>9471621</v>
      </c>
      <c r="J157" s="1">
        <v>26599166</v>
      </c>
      <c r="K157" s="2"/>
      <c r="L157" s="1">
        <v>171824298</v>
      </c>
      <c r="M157" s="1">
        <v>3789545</v>
      </c>
      <c r="N157" s="1">
        <v>11777648</v>
      </c>
      <c r="O157" s="14">
        <v>35075557</v>
      </c>
      <c r="P157" s="2"/>
      <c r="Q157" s="1">
        <v>13089668</v>
      </c>
      <c r="R157" s="1">
        <v>3737542</v>
      </c>
      <c r="S157" s="1">
        <v>13699456</v>
      </c>
      <c r="T157" s="1">
        <v>128761074</v>
      </c>
      <c r="U157" s="2"/>
      <c r="V157" s="9">
        <v>12410715</v>
      </c>
      <c r="W157" s="9">
        <v>3798382</v>
      </c>
      <c r="X157" s="9">
        <v>15822652</v>
      </c>
      <c r="Y157" s="9">
        <v>44030148</v>
      </c>
      <c r="Z157" s="7"/>
    </row>
    <row r="158" spans="2:31">
      <c r="B158" s="1">
        <v>13766675</v>
      </c>
      <c r="C158" s="1">
        <v>4485499</v>
      </c>
      <c r="D158" s="1">
        <v>6883653</v>
      </c>
      <c r="E158" s="1">
        <v>9428809</v>
      </c>
      <c r="F158" s="2"/>
      <c r="G158" s="1">
        <v>11766357</v>
      </c>
      <c r="H158" s="1">
        <v>3791278</v>
      </c>
      <c r="I158" s="1">
        <v>10411643</v>
      </c>
      <c r="J158" s="1">
        <v>26710844</v>
      </c>
      <c r="K158" s="2"/>
      <c r="L158" s="1">
        <v>12106613</v>
      </c>
      <c r="M158" s="1">
        <v>3639628</v>
      </c>
      <c r="N158" s="1">
        <v>10559418</v>
      </c>
      <c r="O158" s="14">
        <v>35488419</v>
      </c>
      <c r="P158" s="2"/>
      <c r="Q158" s="1">
        <v>14127241</v>
      </c>
      <c r="R158" s="1">
        <v>3711436</v>
      </c>
      <c r="S158" s="1">
        <v>62578324</v>
      </c>
      <c r="T158" s="1">
        <v>40900390</v>
      </c>
      <c r="U158" s="2"/>
      <c r="V158" s="9">
        <v>168924973</v>
      </c>
      <c r="W158" s="9">
        <v>3742070</v>
      </c>
      <c r="X158" s="9">
        <v>14954089</v>
      </c>
      <c r="Y158" s="9">
        <v>43972537</v>
      </c>
      <c r="Z158" s="7"/>
    </row>
    <row r="159" spans="2:31">
      <c r="B159" s="1">
        <v>11660429</v>
      </c>
      <c r="C159" s="1">
        <v>4382410</v>
      </c>
      <c r="D159" s="1">
        <v>6879723</v>
      </c>
      <c r="E159" s="1">
        <v>10742986</v>
      </c>
      <c r="F159" s="2"/>
      <c r="G159" s="1">
        <v>187761331</v>
      </c>
      <c r="H159" s="1">
        <v>3736101</v>
      </c>
      <c r="I159" s="1">
        <v>60451616</v>
      </c>
      <c r="J159" s="1">
        <v>25297586</v>
      </c>
      <c r="K159" s="2"/>
      <c r="L159" s="1">
        <v>13995976</v>
      </c>
      <c r="M159" s="1">
        <v>3749275</v>
      </c>
      <c r="N159" s="1">
        <v>9953094</v>
      </c>
      <c r="O159" s="14">
        <v>33912649</v>
      </c>
      <c r="P159" s="2"/>
      <c r="Q159" s="1">
        <v>12885270</v>
      </c>
      <c r="R159" s="1">
        <v>3762216</v>
      </c>
      <c r="S159" s="1">
        <v>13343913</v>
      </c>
      <c r="T159" s="1">
        <v>41057627</v>
      </c>
      <c r="U159" s="2"/>
      <c r="V159" s="9">
        <v>172920071</v>
      </c>
      <c r="W159" s="9">
        <v>3720960</v>
      </c>
      <c r="X159" s="9">
        <v>16837273</v>
      </c>
      <c r="Y159" s="9">
        <v>42384319</v>
      </c>
      <c r="Z159" s="7"/>
    </row>
    <row r="160" spans="2:31">
      <c r="B160" s="1">
        <v>13587484</v>
      </c>
      <c r="C160" s="1">
        <v>4566772</v>
      </c>
      <c r="D160" s="1">
        <v>6896982</v>
      </c>
      <c r="E160" s="1">
        <v>11039359</v>
      </c>
      <c r="F160" s="2"/>
      <c r="G160" s="1">
        <v>12350287</v>
      </c>
      <c r="H160" s="1">
        <v>3754046</v>
      </c>
      <c r="I160" s="1">
        <v>9644988</v>
      </c>
      <c r="J160" s="1">
        <v>24994274</v>
      </c>
      <c r="K160" s="2"/>
      <c r="L160" s="1">
        <v>170316122</v>
      </c>
      <c r="M160" s="1">
        <v>3759471</v>
      </c>
      <c r="N160" s="1">
        <v>10421315</v>
      </c>
      <c r="O160" s="14">
        <v>95350840</v>
      </c>
      <c r="P160" s="2"/>
      <c r="Q160" s="1">
        <v>170060034</v>
      </c>
      <c r="R160" s="1">
        <v>3803824</v>
      </c>
      <c r="S160" s="1">
        <v>13794164</v>
      </c>
      <c r="T160" s="1">
        <v>38810828</v>
      </c>
      <c r="U160" s="2"/>
      <c r="V160" s="9">
        <v>12393125</v>
      </c>
      <c r="W160" s="9">
        <v>3764607</v>
      </c>
      <c r="X160" s="9">
        <v>15284056</v>
      </c>
      <c r="Y160" s="9">
        <v>44182087</v>
      </c>
      <c r="Z160" s="7"/>
    </row>
    <row r="161" spans="2:26">
      <c r="B161" s="1">
        <v>14195142</v>
      </c>
      <c r="C161" s="1">
        <v>4411379</v>
      </c>
      <c r="D161" s="1">
        <v>6852214</v>
      </c>
      <c r="E161" s="1">
        <v>10948630</v>
      </c>
      <c r="F161" s="2"/>
      <c r="G161" s="1">
        <v>196654631</v>
      </c>
      <c r="H161" s="1">
        <v>3810447</v>
      </c>
      <c r="I161" s="1">
        <v>9044765</v>
      </c>
      <c r="J161" s="1">
        <v>32817239</v>
      </c>
      <c r="K161" s="2"/>
      <c r="L161" s="1">
        <v>13372661</v>
      </c>
      <c r="M161" s="1">
        <v>3695580</v>
      </c>
      <c r="N161" s="1">
        <v>10487167</v>
      </c>
      <c r="O161" s="14">
        <v>34702328</v>
      </c>
      <c r="P161" s="2"/>
      <c r="Q161" s="1">
        <v>13375486</v>
      </c>
      <c r="R161" s="1">
        <v>3581233</v>
      </c>
      <c r="S161" s="1">
        <v>13972382</v>
      </c>
      <c r="T161" s="1">
        <v>41024273</v>
      </c>
      <c r="U161" s="2"/>
      <c r="V161" s="9">
        <v>12929237</v>
      </c>
      <c r="W161" s="9">
        <v>3835283</v>
      </c>
      <c r="X161" s="9">
        <v>16535173</v>
      </c>
      <c r="Y161" s="9">
        <v>142563719</v>
      </c>
      <c r="Z161" s="7"/>
    </row>
    <row r="162" spans="2:26">
      <c r="B162" s="1">
        <v>12686669</v>
      </c>
      <c r="C162" s="1">
        <v>4287161</v>
      </c>
      <c r="D162" s="1">
        <v>7502307</v>
      </c>
      <c r="E162" s="1">
        <v>10755260</v>
      </c>
      <c r="F162" s="2"/>
      <c r="G162" s="1">
        <v>12898560</v>
      </c>
      <c r="H162" s="1">
        <v>3736902</v>
      </c>
      <c r="I162" s="1">
        <v>8117162</v>
      </c>
      <c r="J162" s="1">
        <v>33148496</v>
      </c>
      <c r="K162" s="2"/>
      <c r="L162" s="1">
        <v>13299150</v>
      </c>
      <c r="M162" s="1">
        <v>3887144</v>
      </c>
      <c r="N162" s="1">
        <v>10177470</v>
      </c>
      <c r="O162" s="14">
        <v>35589552</v>
      </c>
      <c r="P162" s="2"/>
      <c r="Q162" s="1">
        <v>174851561</v>
      </c>
      <c r="R162" s="1">
        <v>3604919</v>
      </c>
      <c r="S162" s="1">
        <v>14071983</v>
      </c>
      <c r="T162" s="1">
        <v>41170172</v>
      </c>
      <c r="U162" s="2"/>
      <c r="V162" s="9">
        <v>167538649</v>
      </c>
      <c r="W162" s="9">
        <v>3769482</v>
      </c>
      <c r="X162" s="9">
        <v>14773802</v>
      </c>
      <c r="Y162" s="9">
        <v>44074864</v>
      </c>
      <c r="Z162" s="7"/>
    </row>
    <row r="163" spans="2:26">
      <c r="B163" s="1">
        <v>14458824</v>
      </c>
      <c r="C163" s="1">
        <v>4326610</v>
      </c>
      <c r="D163" s="1">
        <v>6894347</v>
      </c>
      <c r="E163" s="1">
        <v>8567731</v>
      </c>
      <c r="F163" s="2"/>
      <c r="G163" s="1">
        <v>13311730</v>
      </c>
      <c r="H163" s="1">
        <v>3912032</v>
      </c>
      <c r="I163" s="1">
        <v>61121265</v>
      </c>
      <c r="J163" s="1">
        <v>31070310</v>
      </c>
      <c r="K163" s="2"/>
      <c r="L163" s="1">
        <v>13172725</v>
      </c>
      <c r="M163" s="1">
        <v>3707889</v>
      </c>
      <c r="N163" s="1">
        <v>9526574</v>
      </c>
      <c r="O163" s="14">
        <v>35845175</v>
      </c>
      <c r="P163" s="2"/>
      <c r="Q163" s="1">
        <v>12661634</v>
      </c>
      <c r="R163" s="1">
        <v>3621620</v>
      </c>
      <c r="S163" s="1">
        <v>13563761</v>
      </c>
      <c r="T163" s="1">
        <v>38966746</v>
      </c>
      <c r="U163" s="2"/>
      <c r="V163" s="9">
        <v>166512275</v>
      </c>
      <c r="W163" s="9">
        <v>3778768</v>
      </c>
      <c r="X163" s="9">
        <v>16763943</v>
      </c>
      <c r="Y163" s="9">
        <v>41859606</v>
      </c>
      <c r="Z163" s="7"/>
    </row>
    <row r="164" spans="2:26">
      <c r="B164" s="1">
        <v>13307782</v>
      </c>
      <c r="C164" s="1">
        <v>4344710</v>
      </c>
      <c r="D164" s="1">
        <v>6880348</v>
      </c>
      <c r="E164" s="1">
        <v>10033669</v>
      </c>
      <c r="F164" s="2"/>
      <c r="G164" s="1">
        <v>13762238</v>
      </c>
      <c r="H164" s="1">
        <v>3813694</v>
      </c>
      <c r="I164" s="1">
        <v>60658163</v>
      </c>
      <c r="J164" s="1">
        <v>33811486</v>
      </c>
      <c r="K164" s="2"/>
      <c r="L164" s="1">
        <v>13473037</v>
      </c>
      <c r="M164" s="1">
        <v>3728748</v>
      </c>
      <c r="N164" s="1">
        <v>11519947</v>
      </c>
      <c r="O164" s="14">
        <v>97285042</v>
      </c>
      <c r="P164" s="2"/>
      <c r="Q164" s="1">
        <v>12235923</v>
      </c>
      <c r="R164" s="1">
        <v>3796840</v>
      </c>
      <c r="S164" s="1">
        <v>13010137</v>
      </c>
      <c r="T164" s="1">
        <v>40470623</v>
      </c>
      <c r="U164" s="2"/>
      <c r="V164" s="9">
        <v>11948273</v>
      </c>
      <c r="W164" s="9">
        <v>3765863</v>
      </c>
      <c r="X164" s="9">
        <v>14824596</v>
      </c>
      <c r="Y164" s="9">
        <v>151523078</v>
      </c>
      <c r="Z164" s="7"/>
    </row>
    <row r="165" spans="2:26">
      <c r="B165" s="1">
        <v>13863263</v>
      </c>
      <c r="C165" s="1">
        <v>4561560</v>
      </c>
      <c r="D165" s="1">
        <v>6883916</v>
      </c>
      <c r="E165" s="1">
        <v>10907964</v>
      </c>
      <c r="F165" s="2"/>
      <c r="G165" s="1">
        <v>188460494</v>
      </c>
      <c r="H165" s="1">
        <v>3775516</v>
      </c>
      <c r="I165" s="1">
        <v>8830048</v>
      </c>
      <c r="J165" s="1">
        <v>25370579</v>
      </c>
      <c r="K165" s="2"/>
      <c r="L165" s="1">
        <v>163739463</v>
      </c>
      <c r="M165" s="1">
        <v>3782940</v>
      </c>
      <c r="N165" s="1">
        <v>9754517</v>
      </c>
      <c r="O165" s="14">
        <v>35384743</v>
      </c>
      <c r="P165" s="2"/>
      <c r="Q165" s="1">
        <v>13815468</v>
      </c>
      <c r="R165" s="1">
        <v>3706725</v>
      </c>
      <c r="S165" s="1">
        <v>14040351</v>
      </c>
      <c r="T165" s="1">
        <v>41042140</v>
      </c>
      <c r="U165" s="2"/>
      <c r="V165" s="9">
        <v>12017609</v>
      </c>
      <c r="W165" s="9">
        <v>3806394</v>
      </c>
      <c r="X165" s="9">
        <v>16888730</v>
      </c>
      <c r="Y165" s="9">
        <v>143051723</v>
      </c>
      <c r="Z165" s="7"/>
    </row>
    <row r="166" spans="2:26">
      <c r="B166" s="1">
        <v>12825337</v>
      </c>
      <c r="C166" s="1">
        <v>4303883</v>
      </c>
      <c r="D166" s="1">
        <v>7552027</v>
      </c>
      <c r="E166" s="1">
        <v>10856316</v>
      </c>
      <c r="F166" s="2"/>
      <c r="G166" s="1">
        <v>12477565</v>
      </c>
      <c r="H166" s="1">
        <v>3776938</v>
      </c>
      <c r="I166" s="1">
        <v>8955519</v>
      </c>
      <c r="J166" s="1">
        <v>32938578</v>
      </c>
      <c r="K166" s="2"/>
      <c r="L166" s="1">
        <v>11969051</v>
      </c>
      <c r="M166" s="1">
        <v>3662162</v>
      </c>
      <c r="N166" s="1">
        <v>10656128</v>
      </c>
      <c r="O166" s="14">
        <v>33284399</v>
      </c>
      <c r="P166" s="2"/>
      <c r="Q166" s="1">
        <v>171045603</v>
      </c>
      <c r="R166" s="1">
        <v>3606975</v>
      </c>
      <c r="S166" s="1">
        <v>13821011</v>
      </c>
      <c r="T166" s="1">
        <v>38824224</v>
      </c>
      <c r="U166" s="2"/>
      <c r="V166" s="9">
        <v>12957663</v>
      </c>
      <c r="W166" s="9">
        <v>3793192</v>
      </c>
      <c r="X166" s="9">
        <v>15807372</v>
      </c>
      <c r="Y166" s="9">
        <v>44749169</v>
      </c>
      <c r="Z166" s="7"/>
    </row>
    <row r="167" spans="2:26">
      <c r="B167" s="1">
        <v>11770270</v>
      </c>
      <c r="C167" s="1">
        <v>4362303</v>
      </c>
      <c r="D167" s="1">
        <v>6815155</v>
      </c>
      <c r="E167" s="1">
        <v>10448855</v>
      </c>
      <c r="F167" s="2"/>
      <c r="G167" s="1">
        <v>184588583</v>
      </c>
      <c r="H167" s="1">
        <v>3769858</v>
      </c>
      <c r="I167" s="1">
        <v>8766483</v>
      </c>
      <c r="J167" s="1">
        <v>25324654</v>
      </c>
      <c r="K167" s="2"/>
      <c r="L167" s="1">
        <v>171118665</v>
      </c>
      <c r="M167" s="1">
        <v>3708212</v>
      </c>
      <c r="N167" s="1">
        <v>10808343</v>
      </c>
      <c r="O167" s="14">
        <v>38140128</v>
      </c>
      <c r="P167" s="2"/>
      <c r="Q167" s="1">
        <v>170961544</v>
      </c>
      <c r="R167" s="1">
        <v>3661323</v>
      </c>
      <c r="S167" s="1">
        <v>62696557</v>
      </c>
      <c r="T167" s="1">
        <v>128853004</v>
      </c>
      <c r="U167" s="2"/>
      <c r="V167" s="9">
        <v>173597538</v>
      </c>
      <c r="W167" s="9">
        <v>3736050</v>
      </c>
      <c r="X167" s="9">
        <v>16297289</v>
      </c>
      <c r="Y167" s="9">
        <v>44217574</v>
      </c>
      <c r="Z167" s="7"/>
    </row>
    <row r="168" spans="2:26">
      <c r="B168" s="1">
        <v>14416104</v>
      </c>
      <c r="C168" s="1">
        <v>4295659</v>
      </c>
      <c r="D168" s="1">
        <v>6889332</v>
      </c>
      <c r="E168" s="1">
        <v>10818733</v>
      </c>
      <c r="F168" s="2"/>
      <c r="G168" s="1">
        <v>15092711</v>
      </c>
      <c r="H168" s="1">
        <v>3828840</v>
      </c>
      <c r="I168" s="1">
        <v>8455520</v>
      </c>
      <c r="J168" s="1">
        <v>25137867</v>
      </c>
      <c r="K168" s="2"/>
      <c r="L168" s="1">
        <v>176495095</v>
      </c>
      <c r="M168" s="1">
        <v>3843886</v>
      </c>
      <c r="N168" s="1">
        <v>62651111</v>
      </c>
      <c r="O168" s="14">
        <v>99052070</v>
      </c>
      <c r="P168" s="2"/>
      <c r="Q168" s="1">
        <v>13501591</v>
      </c>
      <c r="R168" s="1">
        <v>3694634</v>
      </c>
      <c r="S168" s="1">
        <v>13987579</v>
      </c>
      <c r="T168" s="1">
        <v>41259592</v>
      </c>
      <c r="U168" s="2"/>
      <c r="V168" s="9">
        <v>12725209</v>
      </c>
      <c r="W168" s="9">
        <v>3730939</v>
      </c>
      <c r="X168" s="9">
        <v>15429998</v>
      </c>
      <c r="Y168" s="9">
        <v>42494423</v>
      </c>
      <c r="Z168" s="7"/>
    </row>
    <row r="169" spans="2:26">
      <c r="B169" s="1">
        <v>13856429</v>
      </c>
      <c r="C169" s="1">
        <v>4264805</v>
      </c>
      <c r="D169" s="1">
        <v>6910440</v>
      </c>
      <c r="E169" s="1">
        <v>10428984</v>
      </c>
      <c r="F169" s="2"/>
      <c r="G169" s="1">
        <v>175745829</v>
      </c>
      <c r="H169" s="1">
        <v>3741346</v>
      </c>
      <c r="I169" s="1">
        <v>8428472</v>
      </c>
      <c r="J169" s="1">
        <v>25183842</v>
      </c>
      <c r="K169" s="2"/>
      <c r="L169" s="1">
        <v>13442972</v>
      </c>
      <c r="M169" s="1">
        <v>3784417</v>
      </c>
      <c r="N169" s="1">
        <v>10758991</v>
      </c>
      <c r="O169" s="14">
        <v>34704408</v>
      </c>
      <c r="P169" s="2"/>
      <c r="Q169" s="1">
        <v>12882955</v>
      </c>
      <c r="R169" s="1">
        <v>3687446</v>
      </c>
      <c r="S169" s="1">
        <v>14119417</v>
      </c>
      <c r="T169" s="1">
        <v>130639423</v>
      </c>
      <c r="U169" s="2"/>
      <c r="V169" s="9">
        <v>11523888</v>
      </c>
      <c r="W169" s="9">
        <v>3856268</v>
      </c>
      <c r="X169" s="9">
        <v>16737363</v>
      </c>
      <c r="Y169" s="9">
        <v>141821071</v>
      </c>
      <c r="Z169" s="7"/>
    </row>
    <row r="170" spans="2:26">
      <c r="B170" s="1">
        <v>12709209</v>
      </c>
      <c r="C170" s="1">
        <v>4165384</v>
      </c>
      <c r="D170" s="1">
        <v>6923781</v>
      </c>
      <c r="E170" s="1">
        <v>8603725</v>
      </c>
      <c r="F170" s="2"/>
      <c r="G170" s="1">
        <v>12318993</v>
      </c>
      <c r="H170" s="1">
        <v>3845179</v>
      </c>
      <c r="I170" s="1">
        <v>9832296</v>
      </c>
      <c r="J170" s="1">
        <v>25381661</v>
      </c>
      <c r="K170" s="2"/>
      <c r="L170" s="1">
        <v>13671759</v>
      </c>
      <c r="M170" s="1">
        <v>3783767</v>
      </c>
      <c r="N170" s="1">
        <v>9908096</v>
      </c>
      <c r="O170" s="14">
        <v>99852419</v>
      </c>
      <c r="P170" s="2"/>
      <c r="Q170" s="1">
        <v>14348254</v>
      </c>
      <c r="R170" s="1">
        <v>3729155</v>
      </c>
      <c r="S170" s="1">
        <v>13374029</v>
      </c>
      <c r="T170" s="1">
        <v>38928126</v>
      </c>
      <c r="U170" s="2"/>
      <c r="V170" s="9">
        <v>13593760</v>
      </c>
      <c r="W170" s="9">
        <v>3764170</v>
      </c>
      <c r="X170" s="9">
        <v>15265235</v>
      </c>
      <c r="Y170" s="9">
        <v>44108449</v>
      </c>
      <c r="Z170" s="7"/>
    </row>
    <row r="171" spans="2:26">
      <c r="B171" s="1">
        <v>12494126</v>
      </c>
      <c r="C171" s="1">
        <v>4351209</v>
      </c>
      <c r="D171" s="1">
        <v>7544941</v>
      </c>
      <c r="E171" s="1">
        <v>10903937</v>
      </c>
      <c r="F171" s="2"/>
      <c r="G171" s="1">
        <v>14152517</v>
      </c>
      <c r="H171" s="1">
        <v>3666907</v>
      </c>
      <c r="I171" s="1">
        <v>8923666</v>
      </c>
      <c r="J171" s="1">
        <v>26949197</v>
      </c>
      <c r="K171" s="2"/>
      <c r="L171" s="1">
        <v>12761999</v>
      </c>
      <c r="M171" s="1">
        <v>3781511</v>
      </c>
      <c r="N171" s="1">
        <v>12199682</v>
      </c>
      <c r="O171" s="14">
        <v>32679620</v>
      </c>
      <c r="P171" s="2"/>
      <c r="Q171" s="1">
        <v>12649082</v>
      </c>
      <c r="R171" s="1">
        <v>3697377</v>
      </c>
      <c r="S171" s="1">
        <v>12670562</v>
      </c>
      <c r="T171" s="1">
        <v>41134133</v>
      </c>
      <c r="U171" s="2"/>
      <c r="V171" s="9">
        <v>12966799</v>
      </c>
      <c r="W171" s="9">
        <v>3792656</v>
      </c>
      <c r="X171" s="9">
        <v>16331395</v>
      </c>
      <c r="Y171" s="9">
        <v>44029607</v>
      </c>
      <c r="Z171" s="7"/>
    </row>
    <row r="172" spans="2:26">
      <c r="B172" s="1">
        <v>11002444</v>
      </c>
      <c r="C172" s="1">
        <v>4186590</v>
      </c>
      <c r="D172" s="1">
        <v>6892814</v>
      </c>
      <c r="E172" s="1">
        <v>10733044</v>
      </c>
      <c r="F172" s="2"/>
      <c r="G172" s="1">
        <v>12213641</v>
      </c>
      <c r="H172" s="1">
        <v>3709793</v>
      </c>
      <c r="I172" s="1">
        <v>7765561</v>
      </c>
      <c r="J172" s="1">
        <v>24978247</v>
      </c>
      <c r="K172" s="2"/>
      <c r="L172" s="1">
        <v>12089986</v>
      </c>
      <c r="M172" s="1">
        <v>3747496</v>
      </c>
      <c r="N172" s="1">
        <v>62412933</v>
      </c>
      <c r="O172" s="14">
        <v>34280238</v>
      </c>
      <c r="P172" s="2"/>
      <c r="Q172" s="1">
        <v>13069901</v>
      </c>
      <c r="R172" s="1">
        <v>3677924</v>
      </c>
      <c r="S172" s="1">
        <v>14002193</v>
      </c>
      <c r="T172" s="1">
        <v>40766991</v>
      </c>
      <c r="U172" s="2"/>
      <c r="V172" s="9">
        <v>13442454</v>
      </c>
      <c r="W172" s="9">
        <v>3743873</v>
      </c>
      <c r="X172" s="9">
        <v>15642809</v>
      </c>
      <c r="Y172" s="9">
        <v>41933394</v>
      </c>
      <c r="Z172" s="7"/>
    </row>
    <row r="173" spans="2:26">
      <c r="B173" s="1">
        <v>10971204</v>
      </c>
      <c r="C173" s="1">
        <v>4272176</v>
      </c>
      <c r="D173" s="1">
        <v>6925691</v>
      </c>
      <c r="E173" s="1">
        <v>8614903</v>
      </c>
      <c r="F173" s="2"/>
      <c r="G173" s="1">
        <v>12646488</v>
      </c>
      <c r="H173" s="1">
        <v>3800219</v>
      </c>
      <c r="I173" s="1">
        <v>59724410</v>
      </c>
      <c r="J173" s="1">
        <v>25279699</v>
      </c>
      <c r="K173" s="2"/>
      <c r="L173" s="1">
        <v>12716249</v>
      </c>
      <c r="M173" s="1">
        <v>3812064</v>
      </c>
      <c r="N173" s="1">
        <v>10950311</v>
      </c>
      <c r="O173" s="14">
        <v>35152052</v>
      </c>
      <c r="P173" s="2"/>
      <c r="Q173" s="1">
        <v>14145161</v>
      </c>
      <c r="R173" s="1">
        <v>3721429</v>
      </c>
      <c r="S173" s="1">
        <v>63876957</v>
      </c>
      <c r="T173" s="1">
        <v>128717996</v>
      </c>
      <c r="U173" s="2"/>
      <c r="V173" s="9">
        <v>13396124</v>
      </c>
      <c r="W173" s="9">
        <v>3821121</v>
      </c>
      <c r="X173" s="9">
        <v>16927557</v>
      </c>
      <c r="Y173" s="9">
        <v>44772449</v>
      </c>
      <c r="Z173" s="7"/>
    </row>
    <row r="174" spans="2:26">
      <c r="B174" s="1">
        <v>10977796</v>
      </c>
      <c r="C174" s="1">
        <v>4469166</v>
      </c>
      <c r="D174" s="1">
        <v>6922878</v>
      </c>
      <c r="E174" s="1">
        <v>10577481</v>
      </c>
      <c r="F174" s="2"/>
      <c r="G174" s="1">
        <v>13127758</v>
      </c>
      <c r="H174" s="1">
        <v>3732826</v>
      </c>
      <c r="I174" s="1">
        <v>8948946</v>
      </c>
      <c r="J174" s="1">
        <v>31592674</v>
      </c>
      <c r="K174" s="2"/>
      <c r="L174" s="1">
        <v>13467885</v>
      </c>
      <c r="M174" s="1">
        <v>3927301</v>
      </c>
      <c r="N174" s="1">
        <v>61757977</v>
      </c>
      <c r="O174" s="14">
        <v>35229668</v>
      </c>
      <c r="P174" s="2"/>
      <c r="Q174" s="1">
        <v>13019754</v>
      </c>
      <c r="R174" s="1">
        <v>3699033</v>
      </c>
      <c r="S174" s="1">
        <v>12452110</v>
      </c>
      <c r="T174" s="1">
        <v>129002879</v>
      </c>
      <c r="U174" s="2"/>
      <c r="V174" s="9">
        <v>12934720</v>
      </c>
      <c r="W174" s="9">
        <v>3757204</v>
      </c>
      <c r="X174" s="9">
        <v>14899877</v>
      </c>
      <c r="Y174" s="9">
        <v>41741892</v>
      </c>
      <c r="Z174" s="7"/>
    </row>
    <row r="175" spans="2:26">
      <c r="B175" s="1">
        <v>10937833</v>
      </c>
      <c r="C175" s="1">
        <v>4292468</v>
      </c>
      <c r="D175" s="1">
        <v>7489681</v>
      </c>
      <c r="E175" s="1">
        <v>10569896</v>
      </c>
      <c r="F175" s="2"/>
      <c r="G175" s="1">
        <v>11384729</v>
      </c>
      <c r="H175" s="1">
        <v>3614926</v>
      </c>
      <c r="I175" s="1">
        <v>8627545</v>
      </c>
      <c r="J175" s="1">
        <v>25580755</v>
      </c>
      <c r="K175" s="2"/>
      <c r="L175" s="1">
        <v>13870832</v>
      </c>
      <c r="M175" s="1">
        <v>3635758</v>
      </c>
      <c r="N175" s="1">
        <v>63345815</v>
      </c>
      <c r="O175" s="14">
        <v>36014922</v>
      </c>
      <c r="P175" s="2"/>
      <c r="Q175" s="1">
        <v>12812868</v>
      </c>
      <c r="R175" s="1">
        <v>3783092</v>
      </c>
      <c r="S175" s="1">
        <v>13974006</v>
      </c>
      <c r="T175" s="1">
        <v>40775359</v>
      </c>
      <c r="U175" s="2"/>
      <c r="V175" s="9">
        <v>162947357</v>
      </c>
      <c r="W175" s="9">
        <v>3759941</v>
      </c>
      <c r="X175" s="9">
        <v>16588333</v>
      </c>
      <c r="Y175" s="9">
        <v>44694406</v>
      </c>
      <c r="Z175" s="7"/>
    </row>
    <row r="176" spans="2:26">
      <c r="B176" s="1">
        <v>14232200</v>
      </c>
      <c r="C176" s="1">
        <v>4243151</v>
      </c>
      <c r="D176" s="1">
        <v>6816652</v>
      </c>
      <c r="E176" s="1">
        <v>9219408</v>
      </c>
      <c r="F176" s="2"/>
      <c r="G176" s="1">
        <v>12572405</v>
      </c>
      <c r="H176" s="1">
        <v>3722582</v>
      </c>
      <c r="I176" s="1">
        <v>62529833</v>
      </c>
      <c r="J176" s="1">
        <v>40263864</v>
      </c>
      <c r="K176" s="2"/>
      <c r="L176" s="1">
        <v>13127888</v>
      </c>
      <c r="M176" s="1">
        <v>3741731</v>
      </c>
      <c r="N176" s="1">
        <v>10177086</v>
      </c>
      <c r="O176" s="14">
        <v>35319757</v>
      </c>
      <c r="P176" s="2"/>
      <c r="Q176" s="1">
        <v>13876230</v>
      </c>
      <c r="R176" s="1">
        <v>3674675</v>
      </c>
      <c r="S176" s="1">
        <v>14142406</v>
      </c>
      <c r="T176" s="1">
        <v>40680255</v>
      </c>
      <c r="U176" s="2"/>
      <c r="V176" s="9">
        <v>164933185</v>
      </c>
      <c r="W176" s="9">
        <v>3729732</v>
      </c>
      <c r="X176" s="9">
        <v>15714042</v>
      </c>
      <c r="Y176" s="9">
        <v>42029761</v>
      </c>
      <c r="Z176" s="7"/>
    </row>
    <row r="177" spans="1:26">
      <c r="B177" s="1">
        <v>13858373</v>
      </c>
      <c r="C177" s="1">
        <v>4563035</v>
      </c>
      <c r="D177" s="1">
        <v>6900405</v>
      </c>
      <c r="E177" s="1">
        <v>10874845</v>
      </c>
      <c r="F177" s="2"/>
      <c r="G177" s="1">
        <v>190486525</v>
      </c>
      <c r="H177" s="1">
        <v>3872183</v>
      </c>
      <c r="I177" s="1">
        <v>9735748</v>
      </c>
      <c r="J177" s="1">
        <v>32062851</v>
      </c>
      <c r="K177" s="2"/>
      <c r="L177" s="1">
        <v>120673061</v>
      </c>
      <c r="M177" s="1">
        <v>3803454</v>
      </c>
      <c r="N177" s="1">
        <v>61340096</v>
      </c>
      <c r="O177" s="14">
        <v>34760464</v>
      </c>
      <c r="P177" s="2"/>
      <c r="Q177" s="1">
        <v>12809000</v>
      </c>
      <c r="R177" s="1">
        <v>3797194</v>
      </c>
      <c r="S177" s="1">
        <v>62625760</v>
      </c>
      <c r="T177" s="1">
        <v>128353236</v>
      </c>
      <c r="U177" s="2"/>
      <c r="V177" s="9">
        <v>13593582</v>
      </c>
      <c r="W177" s="9">
        <v>3783863</v>
      </c>
      <c r="X177" s="9">
        <v>15761274</v>
      </c>
      <c r="Y177" s="9">
        <v>43726274</v>
      </c>
      <c r="Z177" s="7"/>
    </row>
    <row r="178" spans="1:26">
      <c r="B178" s="1">
        <v>13288991</v>
      </c>
      <c r="C178" s="1">
        <v>4235003</v>
      </c>
      <c r="D178" s="1">
        <v>6880611</v>
      </c>
      <c r="E178" s="1">
        <v>10376185</v>
      </c>
      <c r="F178" s="2"/>
      <c r="G178" s="1">
        <v>189307011</v>
      </c>
      <c r="H178" s="1">
        <v>3755491</v>
      </c>
      <c r="I178" s="1">
        <v>8832577</v>
      </c>
      <c r="J178" s="1">
        <v>25142273</v>
      </c>
      <c r="K178" s="2"/>
      <c r="L178" s="1">
        <v>13432533</v>
      </c>
      <c r="M178" s="1">
        <v>3663684</v>
      </c>
      <c r="N178" s="1">
        <v>66505877</v>
      </c>
      <c r="O178" s="14">
        <v>33213492</v>
      </c>
      <c r="P178" s="2"/>
      <c r="Q178" s="1">
        <v>13697066</v>
      </c>
      <c r="R178" s="1">
        <v>3774604</v>
      </c>
      <c r="S178" s="1">
        <v>13882938</v>
      </c>
      <c r="T178" s="1">
        <v>128549128</v>
      </c>
      <c r="U178" s="2"/>
      <c r="V178" s="9">
        <v>13494177</v>
      </c>
      <c r="W178" s="9">
        <v>3752525</v>
      </c>
      <c r="X178" s="9">
        <v>15030527</v>
      </c>
      <c r="Y178" s="9">
        <v>43765394</v>
      </c>
      <c r="Z178" s="7"/>
    </row>
    <row r="179" spans="1:26">
      <c r="B179" s="1">
        <v>14395594</v>
      </c>
      <c r="C179" s="1">
        <v>4401505</v>
      </c>
      <c r="D179" s="1">
        <v>6873518</v>
      </c>
      <c r="E179" s="1">
        <v>8826913</v>
      </c>
      <c r="F179" s="2"/>
      <c r="G179" s="1">
        <v>12448860</v>
      </c>
      <c r="H179" s="1">
        <v>3809855</v>
      </c>
      <c r="I179" s="1">
        <v>7928211</v>
      </c>
      <c r="J179" s="1">
        <v>25448991</v>
      </c>
      <c r="K179" s="2"/>
      <c r="L179" s="1">
        <v>12386766</v>
      </c>
      <c r="M179" s="1">
        <v>3878199</v>
      </c>
      <c r="N179" s="1">
        <v>62812310</v>
      </c>
      <c r="O179" s="14">
        <v>99727946</v>
      </c>
      <c r="P179" s="2"/>
      <c r="Q179" s="1">
        <v>13898958</v>
      </c>
      <c r="R179" s="1">
        <v>3744005</v>
      </c>
      <c r="S179" s="1">
        <v>12967637</v>
      </c>
      <c r="T179" s="1">
        <v>40958220</v>
      </c>
      <c r="U179" s="2"/>
      <c r="V179" s="9">
        <v>179224585</v>
      </c>
      <c r="W179" s="9">
        <v>3758604</v>
      </c>
      <c r="X179" s="9">
        <v>15622832</v>
      </c>
      <c r="Y179" s="9">
        <v>42270917</v>
      </c>
      <c r="Z179" s="7"/>
    </row>
    <row r="180" spans="1:26">
      <c r="A180" s="6" t="s">
        <v>10</v>
      </c>
      <c r="B180" s="3">
        <f>AVERAGE(B150:B179)</f>
        <v>13084449.966666667</v>
      </c>
      <c r="C180" s="3">
        <f>AVERAGE(C150:C179)</f>
        <v>4397756.2666666666</v>
      </c>
      <c r="D180" s="3">
        <f>AVERAGE(D150:D179)</f>
        <v>7011196.4333333336</v>
      </c>
      <c r="E180" s="3">
        <f>AVERAGE(E150:E179)</f>
        <v>10112468.333333334</v>
      </c>
      <c r="F180" s="2"/>
      <c r="G180" s="3">
        <f>AVERAGE(G150:G179)</f>
        <v>65377128.100000001</v>
      </c>
      <c r="H180" s="3">
        <f>AVERAGE(H150:H179)</f>
        <v>3787534.3666666667</v>
      </c>
      <c r="I180" s="3">
        <f>AVERAGE(I150:I179)</f>
        <v>22772497.133333333</v>
      </c>
      <c r="J180" s="3">
        <f>AVERAGE(J150:J179)</f>
        <v>27653763.366666667</v>
      </c>
      <c r="K180" s="2"/>
      <c r="L180" s="3">
        <f>AVERAGE(L150:L179)</f>
        <v>58872844.100000001</v>
      </c>
      <c r="M180" s="3">
        <f>AVERAGE(M150:M179)</f>
        <v>3763904.2666666666</v>
      </c>
      <c r="N180" s="3">
        <f>AVERAGE(N150:N179)</f>
        <v>28115669.366666667</v>
      </c>
      <c r="O180" s="3">
        <f>AVERAGE(O150:O179)</f>
        <v>49592684.733333334</v>
      </c>
      <c r="P180" s="2"/>
      <c r="Q180" s="3">
        <f>AVERAGE(Q150:Q179)</f>
        <v>39674971.133333333</v>
      </c>
      <c r="R180" s="3">
        <f>AVERAGE(R150:R179)</f>
        <v>3714622.2666666666</v>
      </c>
      <c r="S180" s="3">
        <f>AVERAGE(S150:S179)</f>
        <v>25132179.633333333</v>
      </c>
      <c r="T180" s="3">
        <f>AVERAGE(T150:T179)</f>
        <v>64263107.5</v>
      </c>
      <c r="U180" s="2"/>
      <c r="V180" s="11">
        <f>AVERAGE(V150:V179)</f>
        <v>70249882.766666666</v>
      </c>
      <c r="W180" s="11">
        <f>AVERAGE(W150:W179)</f>
        <v>3775640.0666666669</v>
      </c>
      <c r="X180" s="11">
        <f>AVERAGE(X150:X179)</f>
        <v>21790721.199999999</v>
      </c>
      <c r="Y180" s="11">
        <f>AVERAGE(Y150:Y179)</f>
        <v>60207047.600000001</v>
      </c>
      <c r="Z180" s="7"/>
    </row>
  </sheetData>
  <mergeCells count="50">
    <mergeCell ref="B4:E4"/>
    <mergeCell ref="G4:J4"/>
    <mergeCell ref="L4:O4"/>
    <mergeCell ref="Q4:T4"/>
    <mergeCell ref="V4:Y4"/>
    <mergeCell ref="B3:E3"/>
    <mergeCell ref="G3:J3"/>
    <mergeCell ref="L3:O3"/>
    <mergeCell ref="Q3:T3"/>
    <mergeCell ref="V3:Y3"/>
    <mergeCell ref="B40:E40"/>
    <mergeCell ref="G40:J40"/>
    <mergeCell ref="L40:O40"/>
    <mergeCell ref="Q40:T40"/>
    <mergeCell ref="V40:Y40"/>
    <mergeCell ref="B39:E39"/>
    <mergeCell ref="G39:J39"/>
    <mergeCell ref="L39:O39"/>
    <mergeCell ref="Q39:T39"/>
    <mergeCell ref="V39:Y39"/>
    <mergeCell ref="B76:E76"/>
    <mergeCell ref="G76:J76"/>
    <mergeCell ref="L76:O76"/>
    <mergeCell ref="Q76:T76"/>
    <mergeCell ref="V76:Y76"/>
    <mergeCell ref="B75:E75"/>
    <mergeCell ref="G75:J75"/>
    <mergeCell ref="L75:O75"/>
    <mergeCell ref="Q75:T75"/>
    <mergeCell ref="V75:Y75"/>
    <mergeCell ref="B112:E112"/>
    <mergeCell ref="G112:J112"/>
    <mergeCell ref="L112:O112"/>
    <mergeCell ref="Q112:T112"/>
    <mergeCell ref="V112:Y112"/>
    <mergeCell ref="B111:E111"/>
    <mergeCell ref="G111:J111"/>
    <mergeCell ref="L111:O111"/>
    <mergeCell ref="Q111:T111"/>
    <mergeCell ref="V111:Y111"/>
    <mergeCell ref="B148:E148"/>
    <mergeCell ref="G148:J148"/>
    <mergeCell ref="L148:O148"/>
    <mergeCell ref="Q148:T148"/>
    <mergeCell ref="V148:Y148"/>
    <mergeCell ref="B147:E147"/>
    <mergeCell ref="G147:J147"/>
    <mergeCell ref="L147:O147"/>
    <mergeCell ref="Q147:T147"/>
    <mergeCell ref="V147:Y14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6F09-EF5C-499C-9D28-5424E4634365}">
  <dimension ref="B2:T30"/>
  <sheetViews>
    <sheetView topLeftCell="A23" zoomScale="76" zoomScaleNormal="100" workbookViewId="0">
      <selection activeCell="K68" sqref="K68"/>
    </sheetView>
  </sheetViews>
  <sheetFormatPr defaultColWidth="10.85546875" defaultRowHeight="15"/>
  <cols>
    <col min="1" max="1" width="14.42578125" style="4" customWidth="1"/>
    <col min="2" max="2" width="13.140625" style="4" customWidth="1"/>
    <col min="3" max="3" width="35.140625" style="4" customWidth="1"/>
    <col min="4" max="4" width="32.140625" style="4" customWidth="1"/>
    <col min="5" max="5" width="24.5703125" style="4" customWidth="1"/>
    <col min="6" max="6" width="20.85546875" style="4" customWidth="1"/>
    <col min="7" max="7" width="19.85546875" style="4" customWidth="1"/>
    <col min="8" max="8" width="2.7109375" style="4" customWidth="1"/>
    <col min="9" max="9" width="13.7109375" style="4" customWidth="1"/>
    <col min="10" max="10" width="31.42578125" style="4" customWidth="1"/>
    <col min="11" max="11" width="24.42578125" style="4" customWidth="1"/>
    <col min="12" max="12" width="16.85546875" style="4" customWidth="1"/>
    <col min="13" max="13" width="24.42578125" style="4" customWidth="1"/>
    <col min="14" max="14" width="23.5703125" style="4" customWidth="1"/>
    <col min="15" max="15" width="9.140625" style="4" bestFit="1" customWidth="1"/>
    <col min="16" max="16" width="21" style="4" customWidth="1"/>
    <col min="17" max="17" width="29.28515625" style="4" customWidth="1"/>
    <col min="18" max="18" width="31.42578125" style="4" customWidth="1"/>
    <col min="19" max="19" width="27.28515625" style="4" customWidth="1"/>
    <col min="20" max="20" width="22.85546875" style="4" customWidth="1"/>
    <col min="21" max="16384" width="10.85546875" style="4"/>
  </cols>
  <sheetData>
    <row r="2" spans="2:20" ht="15" customHeight="1" thickBot="1">
      <c r="B2" s="25"/>
    </row>
    <row r="3" spans="2:20" ht="39" customHeight="1" thickBot="1">
      <c r="B3" s="69" t="s">
        <v>31</v>
      </c>
      <c r="C3" s="70"/>
      <c r="D3" s="70"/>
      <c r="E3" s="70"/>
      <c r="F3" s="71"/>
      <c r="G3" s="53"/>
      <c r="I3" s="69" t="s">
        <v>32</v>
      </c>
      <c r="J3" s="70"/>
      <c r="K3" s="70"/>
      <c r="L3" s="70"/>
      <c r="M3" s="71"/>
      <c r="N3" s="51"/>
      <c r="P3" s="69" t="s">
        <v>33</v>
      </c>
      <c r="Q3" s="70"/>
      <c r="R3" s="70"/>
      <c r="S3" s="70"/>
      <c r="T3" s="71"/>
    </row>
    <row r="4" spans="2:20" ht="21.95" customHeight="1" thickBot="1">
      <c r="B4" s="31"/>
      <c r="C4" s="72" t="s">
        <v>34</v>
      </c>
      <c r="D4" s="73"/>
      <c r="E4" s="73"/>
      <c r="F4" s="74"/>
      <c r="G4" s="7"/>
      <c r="I4" s="31"/>
      <c r="J4" s="72" t="s">
        <v>34</v>
      </c>
      <c r="K4" s="73"/>
      <c r="L4" s="73"/>
      <c r="M4" s="74"/>
      <c r="N4" s="41"/>
      <c r="P4" s="31"/>
      <c r="Q4" s="72" t="s">
        <v>34</v>
      </c>
      <c r="R4" s="73"/>
      <c r="S4" s="73"/>
      <c r="T4" s="74"/>
    </row>
    <row r="5" spans="2:20" ht="60.75" thickBot="1">
      <c r="B5" s="29" t="s">
        <v>35</v>
      </c>
      <c r="C5" s="28" t="s">
        <v>6</v>
      </c>
      <c r="D5" s="44" t="s">
        <v>7</v>
      </c>
      <c r="E5" s="43" t="s">
        <v>8</v>
      </c>
      <c r="F5" s="54" t="s">
        <v>9</v>
      </c>
      <c r="G5" s="7"/>
      <c r="I5" s="29" t="s">
        <v>35</v>
      </c>
      <c r="J5" s="28" t="s">
        <v>6</v>
      </c>
      <c r="K5" s="44" t="s">
        <v>7</v>
      </c>
      <c r="L5" s="43" t="s">
        <v>8</v>
      </c>
      <c r="M5" s="54" t="s">
        <v>9</v>
      </c>
      <c r="N5" s="7"/>
      <c r="P5" s="29" t="s">
        <v>35</v>
      </c>
      <c r="Q5" s="28" t="s">
        <v>6</v>
      </c>
      <c r="R5" s="44" t="s">
        <v>7</v>
      </c>
      <c r="S5" s="43" t="s">
        <v>8</v>
      </c>
      <c r="T5" s="54" t="s">
        <v>9</v>
      </c>
    </row>
    <row r="6" spans="2:20" ht="15.75" thickBot="1">
      <c r="B6" s="35">
        <v>1</v>
      </c>
      <c r="C6" s="38">
        <f>FilasOpenMP!B36</f>
        <v>663.9666666666667</v>
      </c>
      <c r="D6" s="19">
        <f>FilasOpenMP!C36</f>
        <v>141.06666666666666</v>
      </c>
      <c r="E6" s="37">
        <f>FilasOpenMP!D36</f>
        <v>256.33333333333331</v>
      </c>
      <c r="F6" s="37">
        <f>FilasOpenMP!E36</f>
        <v>457.06666666666666</v>
      </c>
      <c r="G6" s="7"/>
      <c r="I6" s="35">
        <v>1</v>
      </c>
      <c r="J6" s="38">
        <f>FilasOpenMP!B72</f>
        <v>6334.4333333333334</v>
      </c>
      <c r="K6" s="38">
        <f>FilasOpenMP!C72</f>
        <v>1506.4666666666667</v>
      </c>
      <c r="L6" s="38">
        <f>FilasOpenMP!D72</f>
        <v>1907</v>
      </c>
      <c r="M6" s="38">
        <f>FilasOpenMP!E72</f>
        <v>3184.3333333333335</v>
      </c>
      <c r="N6" s="7"/>
      <c r="P6" s="35">
        <v>1</v>
      </c>
      <c r="Q6" s="38">
        <f>FilasOpenMP!B108</f>
        <v>535523.80000000005</v>
      </c>
      <c r="R6" s="19">
        <f>FilasOpenMP!C108</f>
        <v>160720.4</v>
      </c>
      <c r="S6" s="37">
        <f>FilasOpenMP!D108</f>
        <v>246135.73333333334</v>
      </c>
      <c r="T6" s="37">
        <f>FilasOpenMP!E108</f>
        <v>331521.13333333336</v>
      </c>
    </row>
    <row r="7" spans="2:20" ht="15.75" thickBot="1">
      <c r="B7" s="36">
        <v>2</v>
      </c>
      <c r="C7" s="39">
        <f>FilasOpenMP!G36</f>
        <v>1792.3333333333333</v>
      </c>
      <c r="D7" s="30">
        <f>FilasOpenMP!H36</f>
        <v>1776.8</v>
      </c>
      <c r="E7" s="32">
        <f>FilasOpenMP!I36</f>
        <v>168</v>
      </c>
      <c r="F7" s="32">
        <f>FilasOpenMP!J36</f>
        <v>1481.8</v>
      </c>
      <c r="G7" s="7"/>
      <c r="I7" s="36">
        <v>2</v>
      </c>
      <c r="J7" s="38">
        <f>FilasOpenMP!G72</f>
        <v>27133.733333333334</v>
      </c>
      <c r="K7" s="38">
        <f>FilasOpenMP!H72</f>
        <v>4336</v>
      </c>
      <c r="L7" s="38">
        <f>FilasOpenMP!I72</f>
        <v>1078</v>
      </c>
      <c r="M7" s="38">
        <f>FilasOpenMP!J72</f>
        <v>8739.2666666666664</v>
      </c>
      <c r="N7" s="7"/>
      <c r="P7" s="36">
        <v>2</v>
      </c>
      <c r="Q7" s="38">
        <f>FilasOpenMP!G108</f>
        <v>1641799.3</v>
      </c>
      <c r="R7" s="30">
        <f>FilasOpenMP!H108</f>
        <v>146649.63333333333</v>
      </c>
      <c r="S7" s="32">
        <f>FilasOpenMP!I108</f>
        <v>706038.93333333335</v>
      </c>
      <c r="T7" s="32">
        <f>FilasOpenMP!J108</f>
        <v>1082274.1666666667</v>
      </c>
    </row>
    <row r="8" spans="2:20" ht="15.75" thickBot="1">
      <c r="B8" s="35">
        <v>4</v>
      </c>
      <c r="C8" s="39">
        <f>FilasOpenMP!L36</f>
        <v>2572.4666666666667</v>
      </c>
      <c r="D8" s="30">
        <f>FilasOpenMP!M36</f>
        <v>7505.6333333333332</v>
      </c>
      <c r="E8" s="32">
        <f>FilasOpenMP!N36</f>
        <v>229</v>
      </c>
      <c r="F8" s="32">
        <f>FilasOpenMP!O36</f>
        <v>2822.5333333333333</v>
      </c>
      <c r="G8" s="7"/>
      <c r="I8" s="35">
        <v>4</v>
      </c>
      <c r="J8" s="38">
        <f>FilasOpenMP!L72</f>
        <v>15153.7</v>
      </c>
      <c r="K8" s="38">
        <f>FilasOpenMP!M72</f>
        <v>8065</v>
      </c>
      <c r="L8" s="38">
        <f>FilasOpenMP!N72</f>
        <v>674</v>
      </c>
      <c r="M8" s="38">
        <f>FilasOpenMP!O72</f>
        <v>19000.233333333334</v>
      </c>
      <c r="N8" s="7"/>
      <c r="P8" s="35">
        <v>4</v>
      </c>
      <c r="Q8" s="38">
        <f>FilasOpenMP!L108</f>
        <v>2381290.7999999998</v>
      </c>
      <c r="R8" s="30">
        <f>FilasOpenMP!M108</f>
        <v>146732.53333333333</v>
      </c>
      <c r="S8" s="32">
        <f>FilasOpenMP!N108</f>
        <v>890051.33333333337</v>
      </c>
      <c r="T8" s="32">
        <f>FilasOpenMP!O108</f>
        <v>1842179.4333333333</v>
      </c>
    </row>
    <row r="9" spans="2:20" ht="15.75" thickBot="1">
      <c r="B9" s="35">
        <v>8</v>
      </c>
      <c r="C9" s="39">
        <f>FilasOpenMP!Q36</f>
        <v>2306.6333333333332</v>
      </c>
      <c r="D9" s="30">
        <f>FilasOpenMP!R36</f>
        <v>3525.7</v>
      </c>
      <c r="E9" s="32">
        <f>FilasOpenMP!S36</f>
        <v>448</v>
      </c>
      <c r="F9" s="32">
        <f>FilasOpenMP!T36</f>
        <v>3330.4666666666667</v>
      </c>
      <c r="G9" s="7"/>
      <c r="I9" s="35">
        <v>8</v>
      </c>
      <c r="J9" s="38">
        <f>FilasOpenMP!Q72</f>
        <v>19429.466666666667</v>
      </c>
      <c r="K9" s="38">
        <f>FilasOpenMP!R72</f>
        <v>5557.4666666666662</v>
      </c>
      <c r="L9" s="38">
        <f>FilasOpenMP!S72</f>
        <v>707</v>
      </c>
      <c r="M9" s="38">
        <f>FilasOpenMP!T72</f>
        <v>23081.433333333334</v>
      </c>
      <c r="N9" s="7"/>
      <c r="P9" s="35">
        <v>8</v>
      </c>
      <c r="Q9" s="38">
        <f>FilasOpenMP!Q108</f>
        <v>1512878.2333333334</v>
      </c>
      <c r="R9" s="30">
        <f>FilasOpenMP!R108</f>
        <v>135386.9</v>
      </c>
      <c r="S9" s="32">
        <f>FilasOpenMP!S108</f>
        <v>763243.6</v>
      </c>
      <c r="T9" s="32">
        <f>FilasOpenMP!T108</f>
        <v>2468527</v>
      </c>
    </row>
    <row r="10" spans="2:20" ht="15.75" thickBot="1">
      <c r="B10" s="34">
        <v>10</v>
      </c>
      <c r="C10" s="39">
        <f>FilasOpenMP!V36</f>
        <v>2194.8666666666668</v>
      </c>
      <c r="D10" s="39">
        <f>FilasOpenMP!W36</f>
        <v>1583.5333333333333</v>
      </c>
      <c r="E10" s="30">
        <f>FilasOpenMP!X36</f>
        <v>430</v>
      </c>
      <c r="F10" s="32">
        <f>FilasOpenMP!Y36</f>
        <v>4624.5333333333338</v>
      </c>
      <c r="G10" s="7"/>
      <c r="H10" s="7"/>
      <c r="I10" s="34">
        <v>10</v>
      </c>
      <c r="J10" s="38">
        <f>FilasOpenMP!V72</f>
        <v>24563.7</v>
      </c>
      <c r="K10" s="38">
        <f>FilasOpenMP!W72</f>
        <v>1994</v>
      </c>
      <c r="L10" s="38">
        <f>FilasOpenMP!X72</f>
        <v>8728.7000000000007</v>
      </c>
      <c r="M10" s="38">
        <f>FilasOpenMP!Y72</f>
        <v>25875.9</v>
      </c>
      <c r="N10" s="7"/>
      <c r="P10" s="34">
        <v>10</v>
      </c>
      <c r="Q10" s="38">
        <f>FilasOpenMP!V108</f>
        <v>1336721.1333333333</v>
      </c>
      <c r="R10" s="38">
        <f>FilasOpenMP!W108</f>
        <v>131370.33333333334</v>
      </c>
      <c r="S10" s="38">
        <f>FilasOpenMP!X108</f>
        <v>1014267.5333333333</v>
      </c>
      <c r="T10" s="38">
        <f>FilasOpenMP!Y108</f>
        <v>2509010.2666666666</v>
      </c>
    </row>
    <row r="11" spans="2:20">
      <c r="B11" s="49"/>
      <c r="C11" s="7"/>
      <c r="D11" s="7"/>
      <c r="E11" s="7"/>
      <c r="F11" s="7"/>
      <c r="G11" s="7"/>
      <c r="H11" s="7"/>
      <c r="I11" s="49"/>
      <c r="J11" s="7"/>
      <c r="K11" s="7"/>
      <c r="L11" s="7"/>
      <c r="M11" s="7"/>
      <c r="N11" s="7"/>
    </row>
    <row r="12" spans="2:20" ht="15.95" customHeight="1"/>
    <row r="13" spans="2:20" ht="36.75" customHeight="1" thickBot="1">
      <c r="B13" s="75" t="s">
        <v>36</v>
      </c>
      <c r="C13" s="76"/>
      <c r="D13" s="76"/>
      <c r="E13" s="76"/>
      <c r="F13" s="77"/>
      <c r="G13" s="53"/>
      <c r="H13" s="7"/>
      <c r="I13" s="75" t="s">
        <v>37</v>
      </c>
      <c r="J13" s="76"/>
      <c r="K13" s="76"/>
      <c r="L13" s="76"/>
      <c r="M13" s="77"/>
      <c r="N13" s="53"/>
    </row>
    <row r="14" spans="2:20" ht="15.75" thickBot="1">
      <c r="B14" s="31"/>
      <c r="C14" s="72" t="s">
        <v>34</v>
      </c>
      <c r="D14" s="73"/>
      <c r="E14" s="73"/>
      <c r="F14" s="74"/>
      <c r="G14" s="7"/>
      <c r="H14" s="7"/>
      <c r="I14" s="31"/>
      <c r="J14" s="72" t="s">
        <v>34</v>
      </c>
      <c r="K14" s="73"/>
      <c r="L14" s="73"/>
      <c r="M14" s="74"/>
      <c r="N14" s="7"/>
    </row>
    <row r="15" spans="2:20" ht="60.75" thickBot="1">
      <c r="B15" s="29" t="s">
        <v>35</v>
      </c>
      <c r="C15" s="28" t="s">
        <v>6</v>
      </c>
      <c r="D15" s="44" t="s">
        <v>7</v>
      </c>
      <c r="E15" s="43" t="s">
        <v>8</v>
      </c>
      <c r="F15" s="54" t="s">
        <v>9</v>
      </c>
      <c r="G15" s="7"/>
      <c r="I15" s="29" t="s">
        <v>35</v>
      </c>
      <c r="J15" s="28" t="s">
        <v>6</v>
      </c>
      <c r="K15" s="44" t="s">
        <v>7</v>
      </c>
      <c r="L15" s="43" t="s">
        <v>8</v>
      </c>
      <c r="M15" s="54" t="s">
        <v>9</v>
      </c>
      <c r="N15" s="7"/>
    </row>
    <row r="16" spans="2:20" ht="15.75" thickBot="1">
      <c r="B16" s="35">
        <v>1</v>
      </c>
      <c r="C16" s="39">
        <f>FilasOpenMP!B144</f>
        <v>4150145.5333333332</v>
      </c>
      <c r="D16" s="39">
        <f>FilasOpenMP!C144</f>
        <v>1213799.5666666667</v>
      </c>
      <c r="E16" s="39">
        <f>FilasOpenMP!D144</f>
        <v>2026459.8333333333</v>
      </c>
      <c r="F16" s="39">
        <f>FilasOpenMP!E144</f>
        <v>3066932.6333333333</v>
      </c>
      <c r="G16" s="7"/>
      <c r="I16" s="35">
        <v>1</v>
      </c>
      <c r="J16" s="38">
        <f>FilasOpenMP!B180</f>
        <v>13084449.966666667</v>
      </c>
      <c r="K16" s="19">
        <f>FilasOpenMP!C180</f>
        <v>4397756.2666666666</v>
      </c>
      <c r="L16" s="37">
        <f>FilasOpenMP!D180</f>
        <v>7011196.4333333336</v>
      </c>
      <c r="M16" s="37">
        <f>FilasOpenMP!E180</f>
        <v>10112468.333333334</v>
      </c>
      <c r="N16" s="7"/>
    </row>
    <row r="17" spans="2:14" ht="15.75" thickBot="1">
      <c r="B17" s="36">
        <v>2</v>
      </c>
      <c r="C17" s="39">
        <f>FilasOpenMP!G144</f>
        <v>18118152.433333334</v>
      </c>
      <c r="D17" s="39">
        <f>FilasOpenMP!H144</f>
        <v>1099939.2666666666</v>
      </c>
      <c r="E17" s="32">
        <f>FilasOpenMP!I144</f>
        <v>4612067.666666667</v>
      </c>
      <c r="F17" s="39">
        <f>FilasOpenMP!J144</f>
        <v>8776908.0999999996</v>
      </c>
      <c r="G17" s="7"/>
      <c r="I17" s="36">
        <v>2</v>
      </c>
      <c r="J17" s="39">
        <f>FilasOpenMP!G180</f>
        <v>65377128.100000001</v>
      </c>
      <c r="K17" s="30">
        <f>FilasOpenMP!H180</f>
        <v>3787534.3666666667</v>
      </c>
      <c r="L17" s="32">
        <f>FilasOpenMP!I180</f>
        <v>22772497.133333333</v>
      </c>
      <c r="M17" s="32">
        <f>FilasOpenMP!J180</f>
        <v>27653763.366666667</v>
      </c>
      <c r="N17" s="7"/>
    </row>
    <row r="18" spans="2:14" ht="15.75" thickBot="1">
      <c r="B18" s="35">
        <v>4</v>
      </c>
      <c r="C18" s="39">
        <f>FilasOpenMP!L144</f>
        <v>26157941.266666666</v>
      </c>
      <c r="D18" s="39">
        <f>FilasOpenMP!M144</f>
        <v>1103606.8</v>
      </c>
      <c r="E18" s="32">
        <f>FilasOpenMP!N144</f>
        <v>6340739.6333333338</v>
      </c>
      <c r="F18" s="32">
        <f>FilasOpenMP!O144</f>
        <v>15083005.766666668</v>
      </c>
      <c r="G18" s="7"/>
      <c r="I18" s="35">
        <v>4</v>
      </c>
      <c r="J18" s="39">
        <f>FilasOpenMP!L180</f>
        <v>58872844.100000001</v>
      </c>
      <c r="K18" s="30">
        <f>FilasOpenMP!M180</f>
        <v>3763904.2666666666</v>
      </c>
      <c r="L18" s="32">
        <f>FilasOpenMP!N180</f>
        <v>28115669.366666667</v>
      </c>
      <c r="M18" s="32">
        <f>FilasOpenMP!O180</f>
        <v>49592684.733333334</v>
      </c>
      <c r="N18" s="7"/>
    </row>
    <row r="19" spans="2:14" ht="15.75" thickBot="1">
      <c r="B19" s="35">
        <v>8</v>
      </c>
      <c r="C19" s="39">
        <f>FilasOpenMP!Q144</f>
        <v>11914620.066666666</v>
      </c>
      <c r="D19" s="39">
        <f>FilasOpenMP!W144</f>
        <v>1097460.4333333333</v>
      </c>
      <c r="E19" s="32">
        <f>FilasOpenMP!S144</f>
        <v>9448166.7666666675</v>
      </c>
      <c r="F19" s="32">
        <f>FilasOpenMP!T144</f>
        <v>20001529.733333334</v>
      </c>
      <c r="G19" s="7"/>
      <c r="I19" s="35">
        <v>8</v>
      </c>
      <c r="J19" s="39">
        <f>FilasOpenMP!Q180</f>
        <v>39674971.133333333</v>
      </c>
      <c r="K19" s="39">
        <f>FilasOpenMP!R180</f>
        <v>3714622.2666666666</v>
      </c>
      <c r="L19" s="32">
        <f>FilasOpenMP!S180</f>
        <v>25132179.633333333</v>
      </c>
      <c r="M19" s="32">
        <f>FilasOpenMP!T180</f>
        <v>64263107.5</v>
      </c>
      <c r="N19" s="7"/>
    </row>
    <row r="20" spans="2:14">
      <c r="B20" s="36">
        <v>10</v>
      </c>
      <c r="C20" s="46">
        <f>FilasOpenMP!V144</f>
        <v>19680356.366666667</v>
      </c>
      <c r="D20" s="46">
        <f>FilasOpenMP!W144</f>
        <v>1097460.4333333333</v>
      </c>
      <c r="E20" s="46">
        <f>FilasOpenMP!X144</f>
        <v>6796339.0333333332</v>
      </c>
      <c r="F20" s="48">
        <f>FilasOpenMP!Y144</f>
        <v>20796824.966666665</v>
      </c>
      <c r="G20" s="7"/>
      <c r="I20" s="36">
        <v>10</v>
      </c>
      <c r="J20" s="46">
        <f>FilasOpenMP!V180</f>
        <v>70249882.766666666</v>
      </c>
      <c r="K20" s="46">
        <f>FilasOpenMP!W180</f>
        <v>3775640.0666666669</v>
      </c>
      <c r="L20" s="46">
        <f>FilasOpenMP!X180</f>
        <v>21790721.199999999</v>
      </c>
      <c r="M20" s="48">
        <f>FilasOpenMP!Y180</f>
        <v>60207047.600000001</v>
      </c>
      <c r="N20" s="7"/>
    </row>
    <row r="21" spans="2:14" ht="16.5" customHeight="1">
      <c r="B21" s="49"/>
      <c r="C21" s="7"/>
      <c r="D21" s="7"/>
      <c r="E21" s="7"/>
      <c r="F21" s="7"/>
      <c r="G21" s="7"/>
      <c r="I21" s="49"/>
      <c r="J21" s="7"/>
      <c r="K21" s="7"/>
      <c r="L21" s="7"/>
      <c r="M21" s="7"/>
      <c r="N21" s="7"/>
    </row>
    <row r="30" spans="2:14" ht="44.1" customHeight="1"/>
  </sheetData>
  <mergeCells count="10">
    <mergeCell ref="P3:T3"/>
    <mergeCell ref="C4:F4"/>
    <mergeCell ref="J4:M4"/>
    <mergeCell ref="Q4:T4"/>
    <mergeCell ref="B13:F13"/>
    <mergeCell ref="I13:M13"/>
    <mergeCell ref="C14:F14"/>
    <mergeCell ref="J14:M14"/>
    <mergeCell ref="B3:F3"/>
    <mergeCell ref="I3:M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8110-5B42-4776-BEF0-260E0B6B1027}">
  <dimension ref="B2:T30"/>
  <sheetViews>
    <sheetView topLeftCell="A17" zoomScale="70" zoomScaleNormal="70" workbookViewId="0">
      <selection activeCell="R19" sqref="R19"/>
    </sheetView>
  </sheetViews>
  <sheetFormatPr defaultColWidth="10.85546875" defaultRowHeight="15"/>
  <cols>
    <col min="1" max="1" width="14.42578125" style="4" customWidth="1"/>
    <col min="2" max="2" width="24.140625" style="4" customWidth="1"/>
    <col min="3" max="3" width="26.5703125" style="4" customWidth="1"/>
    <col min="4" max="4" width="22" style="4" customWidth="1"/>
    <col min="5" max="5" width="20.85546875" style="4" customWidth="1"/>
    <col min="6" max="6" width="16.42578125" style="4" customWidth="1"/>
    <col min="7" max="7" width="19.85546875" style="4" customWidth="1"/>
    <col min="8" max="8" width="20.7109375" style="4" customWidth="1"/>
    <col min="9" max="9" width="22.5703125" style="4" customWidth="1"/>
    <col min="10" max="10" width="23.42578125" style="4" customWidth="1"/>
    <col min="11" max="11" width="24.42578125" style="4" customWidth="1"/>
    <col min="12" max="12" width="16.85546875" style="4" customWidth="1"/>
    <col min="13" max="13" width="24.42578125" style="4" customWidth="1"/>
    <col min="14" max="14" width="23.5703125" style="4" customWidth="1"/>
    <col min="15" max="15" width="10.85546875" style="4"/>
    <col min="16" max="16" width="24.85546875" style="4" customWidth="1"/>
    <col min="17" max="17" width="23.85546875" style="4" customWidth="1"/>
    <col min="18" max="18" width="25.7109375" style="4" customWidth="1"/>
    <col min="19" max="19" width="18.85546875" style="4" customWidth="1"/>
    <col min="20" max="20" width="22.5703125" style="4" customWidth="1"/>
    <col min="21" max="16384" width="10.85546875" style="4"/>
  </cols>
  <sheetData>
    <row r="2" spans="2:20" ht="15" customHeight="1">
      <c r="B2" s="25"/>
    </row>
    <row r="3" spans="2:20" ht="39" customHeight="1" thickBot="1">
      <c r="B3" s="81" t="s">
        <v>31</v>
      </c>
      <c r="C3" s="82"/>
      <c r="D3" s="82"/>
      <c r="E3" s="82"/>
      <c r="F3" s="82"/>
      <c r="I3" s="81" t="s">
        <v>32</v>
      </c>
      <c r="J3" s="82"/>
      <c r="K3" s="82"/>
      <c r="L3" s="82"/>
      <c r="M3" s="82"/>
      <c r="N3" s="21"/>
      <c r="P3" s="81" t="s">
        <v>33</v>
      </c>
      <c r="Q3" s="82"/>
      <c r="R3" s="82"/>
      <c r="S3" s="82"/>
      <c r="T3" s="82"/>
    </row>
    <row r="4" spans="2:20" ht="21.95" customHeight="1" thickBot="1">
      <c r="B4" s="58"/>
      <c r="C4" s="83" t="s">
        <v>42</v>
      </c>
      <c r="D4" s="84"/>
      <c r="E4" s="84"/>
      <c r="F4" s="85"/>
      <c r="I4" s="58"/>
      <c r="J4" s="83" t="s">
        <v>42</v>
      </c>
      <c r="K4" s="84"/>
      <c r="L4" s="84"/>
      <c r="M4" s="85"/>
      <c r="N4" s="41"/>
      <c r="P4" s="42"/>
      <c r="Q4" s="78" t="s">
        <v>42</v>
      </c>
      <c r="R4" s="79"/>
      <c r="S4" s="79"/>
      <c r="T4" s="80"/>
    </row>
    <row r="5" spans="2:20" ht="15.75" thickBot="1">
      <c r="B5" s="29" t="s">
        <v>43</v>
      </c>
      <c r="C5" s="5" t="s">
        <v>44</v>
      </c>
      <c r="D5" s="27" t="s">
        <v>45</v>
      </c>
      <c r="E5" s="26" t="s">
        <v>46</v>
      </c>
      <c r="F5" s="27" t="s">
        <v>47</v>
      </c>
      <c r="I5" s="29" t="s">
        <v>43</v>
      </c>
      <c r="J5" s="5" t="s">
        <v>44</v>
      </c>
      <c r="K5" s="27" t="s">
        <v>45</v>
      </c>
      <c r="L5" s="26" t="s">
        <v>46</v>
      </c>
      <c r="M5" s="5" t="s">
        <v>48</v>
      </c>
      <c r="N5" s="7"/>
      <c r="P5" s="29" t="s">
        <v>43</v>
      </c>
      <c r="Q5" s="5" t="s">
        <v>44</v>
      </c>
      <c r="R5" s="27" t="s">
        <v>45</v>
      </c>
      <c r="S5" s="26" t="s">
        <v>46</v>
      </c>
      <c r="T5" s="5" t="s">
        <v>48</v>
      </c>
    </row>
    <row r="6" spans="2:20" ht="15.75" thickBot="1">
      <c r="B6" s="35">
        <v>1</v>
      </c>
      <c r="C6" s="38">
        <f>'Promedios Fork'!C6</f>
        <v>1244.4000000000001</v>
      </c>
      <c r="D6" s="38">
        <f>'Promedios OpenMP'!$C6</f>
        <v>574.73333333333335</v>
      </c>
      <c r="E6" s="19">
        <f>'Promedios Posix'!$C6</f>
        <v>1137.0333333333333</v>
      </c>
      <c r="F6" s="52">
        <f>'Promedios FilasOpenMP'!C6</f>
        <v>663.9666666666667</v>
      </c>
      <c r="I6" s="35">
        <v>1</v>
      </c>
      <c r="J6" s="38">
        <f>'Promedios Fork'!$J6</f>
        <v>5867.9666666666662</v>
      </c>
      <c r="K6" s="38">
        <f>'Promedios OpenMP'!$J6</f>
        <v>4236.0333333333338</v>
      </c>
      <c r="L6" s="19">
        <f>'Promedios Posix'!$J6</f>
        <v>7029.1333333333332</v>
      </c>
      <c r="M6" s="52">
        <f>'Promedios FilasOpenMP'!J6</f>
        <v>6334.4333333333334</v>
      </c>
      <c r="N6" s="7"/>
      <c r="P6" s="35">
        <v>1</v>
      </c>
      <c r="Q6" s="38">
        <f>'Promedios Fork'!$Q6</f>
        <v>501042.96666666667</v>
      </c>
      <c r="R6" s="38">
        <f>'Promedios OpenMP'!$Q6</f>
        <v>484101</v>
      </c>
      <c r="S6" s="19">
        <f>'Promedios Posix'!$Q6</f>
        <v>492496.13333333336</v>
      </c>
      <c r="T6" s="52">
        <f>'Promedios FilasOpenMP'!Q6</f>
        <v>535523.80000000005</v>
      </c>
    </row>
    <row r="7" spans="2:20" ht="15.75" thickBot="1">
      <c r="B7" s="36">
        <v>2</v>
      </c>
      <c r="C7" s="38">
        <f>'Promedios Fork'!C7</f>
        <v>868</v>
      </c>
      <c r="D7" s="38">
        <f>'Promedios OpenMP'!C7</f>
        <v>376.73333333333335</v>
      </c>
      <c r="E7" s="19">
        <f>'Promedios Posix'!$C7</f>
        <v>607.20000000000005</v>
      </c>
      <c r="F7" s="52">
        <f>'Promedios FilasOpenMP'!C7</f>
        <v>1792.3333333333333</v>
      </c>
      <c r="I7" s="36">
        <v>2</v>
      </c>
      <c r="J7" s="38">
        <f>'Promedios Fork'!J7</f>
        <v>3364.7666666666669</v>
      </c>
      <c r="K7" s="38">
        <f>'Promedios OpenMP'!$J7</f>
        <v>2920.7666666666669</v>
      </c>
      <c r="L7" s="19">
        <f>'Promedios Posix'!$J7</f>
        <v>4027.3</v>
      </c>
      <c r="M7" s="52">
        <f>'Promedios FilasOpenMP'!J7</f>
        <v>27133.733333333334</v>
      </c>
      <c r="N7" s="7"/>
      <c r="P7" s="36">
        <v>2</v>
      </c>
      <c r="Q7" s="38">
        <f>'Promedios Fork'!$Q7</f>
        <v>250653.76666666666</v>
      </c>
      <c r="R7" s="38">
        <f>'Promedios OpenMP'!$Q7</f>
        <v>254878.1</v>
      </c>
      <c r="S7" s="19">
        <f>'Promedios Posix'!$Q7</f>
        <v>253957.7</v>
      </c>
      <c r="T7" s="52">
        <f>'Promedios FilasOpenMP'!Q7</f>
        <v>1641799.3</v>
      </c>
    </row>
    <row r="8" spans="2:20" ht="15.75" thickBot="1">
      <c r="B8" s="35">
        <v>4</v>
      </c>
      <c r="C8" s="38">
        <f>'Promedios Fork'!C8</f>
        <v>966.9</v>
      </c>
      <c r="D8" s="38">
        <f>'Promedios OpenMP'!C8</f>
        <v>832.13333333333333</v>
      </c>
      <c r="E8" s="19">
        <f>'Promedios Posix'!$C8</f>
        <v>588.63333333333333</v>
      </c>
      <c r="F8" s="52">
        <f>'Promedios FilasOpenMP'!C8</f>
        <v>2572.4666666666667</v>
      </c>
      <c r="I8" s="35">
        <v>4</v>
      </c>
      <c r="J8" s="38">
        <f>'Promedios Fork'!J8</f>
        <v>2350.8000000000002</v>
      </c>
      <c r="K8" s="38">
        <f>'Promedios OpenMP'!$J8</f>
        <v>1913.5</v>
      </c>
      <c r="L8" s="19">
        <f>'Promedios Posix'!$J8</f>
        <v>1761.3</v>
      </c>
      <c r="M8" s="52">
        <f>'Promedios FilasOpenMP'!J8</f>
        <v>15153.7</v>
      </c>
      <c r="N8" s="7"/>
      <c r="P8" s="35">
        <v>4</v>
      </c>
      <c r="Q8" s="38">
        <f>'Promedios Fork'!$Q8</f>
        <v>130419.63333333333</v>
      </c>
      <c r="R8" s="38">
        <f>'Promedios OpenMP'!$Q8</f>
        <v>357137.06666666665</v>
      </c>
      <c r="S8" s="19">
        <f>'Promedios Posix'!$Q8</f>
        <v>129507.53333333334</v>
      </c>
      <c r="T8" s="52">
        <f>'Promedios FilasOpenMP'!Q8</f>
        <v>2381290.7999999998</v>
      </c>
    </row>
    <row r="9" spans="2:20" ht="15.75" thickBot="1">
      <c r="B9" s="35">
        <v>8</v>
      </c>
      <c r="C9" s="38">
        <f>'Promedios Fork'!C9</f>
        <v>1172.5999999999999</v>
      </c>
      <c r="D9" s="38">
        <f>'Promedios OpenMP'!C9</f>
        <v>700.7</v>
      </c>
      <c r="E9" s="19">
        <f>'Promedios Posix'!$C9</f>
        <v>644.79999999999995</v>
      </c>
      <c r="F9" s="52">
        <f>'Promedios FilasOpenMP'!C9</f>
        <v>2306.6333333333332</v>
      </c>
      <c r="I9" s="35">
        <v>8</v>
      </c>
      <c r="J9" s="38">
        <f>'Promedios Fork'!J9</f>
        <v>2743.4666666666667</v>
      </c>
      <c r="K9" s="38">
        <f>'Promedios OpenMP'!$J9</f>
        <v>1657.4666666666667</v>
      </c>
      <c r="L9" s="19">
        <f>'Promedios Posix'!$J9</f>
        <v>1444.2666666666667</v>
      </c>
      <c r="M9" s="52">
        <f>'Promedios FilasOpenMP'!J9</f>
        <v>19429.466666666667</v>
      </c>
      <c r="N9" s="7"/>
      <c r="P9" s="35">
        <v>8</v>
      </c>
      <c r="Q9" s="38">
        <f>'Promedios Fork'!$Q9</f>
        <v>132673.13333333333</v>
      </c>
      <c r="R9" s="38">
        <f>'Promedios OpenMP'!$Q9</f>
        <v>362235.6</v>
      </c>
      <c r="S9" s="19">
        <f>'Promedios Posix'!$Q9</f>
        <v>125072.56666666667</v>
      </c>
      <c r="T9" s="52">
        <f>'Promedios FilasOpenMP'!Q9</f>
        <v>1512878.2333333334</v>
      </c>
    </row>
    <row r="10" spans="2:20" ht="15.75" thickBot="1">
      <c r="B10" s="35">
        <v>10</v>
      </c>
      <c r="C10" s="38">
        <f>'Promedios Fork'!C10</f>
        <v>1305.2666666666667</v>
      </c>
      <c r="D10" s="38">
        <f>'Promedios OpenMP'!C10</f>
        <v>710.5333333333333</v>
      </c>
      <c r="E10" s="19">
        <f>'Promedios Posix'!$C10</f>
        <v>671.4666666666667</v>
      </c>
      <c r="F10" s="52">
        <f>'Promedios FilasOpenMP'!C10</f>
        <v>2194.8666666666668</v>
      </c>
      <c r="I10" s="35">
        <v>10</v>
      </c>
      <c r="J10" s="38">
        <f>'Promedios Fork'!J10</f>
        <v>2458.3666666666668</v>
      </c>
      <c r="K10" s="38">
        <f>'Promedios OpenMP'!$J10</f>
        <v>1717.2666666666667</v>
      </c>
      <c r="L10" s="19">
        <f>'Promedios Posix'!$J10</f>
        <v>1690.7333333333333</v>
      </c>
      <c r="M10" s="52">
        <f>'Promedios FilasOpenMP'!J10</f>
        <v>24563.7</v>
      </c>
      <c r="N10" s="7"/>
      <c r="P10" s="35">
        <v>10</v>
      </c>
      <c r="Q10" s="38">
        <f>'Promedios Fork'!$Q10</f>
        <v>130487</v>
      </c>
      <c r="R10" s="38">
        <f>'Promedios OpenMP'!$Q10</f>
        <v>341844</v>
      </c>
      <c r="S10" s="19">
        <f>'Promedios Posix'!$Q10</f>
        <v>127562.76666666666</v>
      </c>
      <c r="T10" s="52">
        <f>'Promedios FilasOpenMP'!Q10</f>
        <v>1336721.1333333333</v>
      </c>
    </row>
    <row r="11" spans="2:20">
      <c r="B11" s="49"/>
      <c r="C11" s="7"/>
      <c r="D11" s="7"/>
      <c r="E11" s="7"/>
      <c r="F11" s="7"/>
      <c r="G11" s="49"/>
      <c r="H11" s="7"/>
      <c r="I11" s="7"/>
      <c r="J11" s="7"/>
      <c r="K11" s="7"/>
      <c r="L11" s="7"/>
      <c r="M11" s="7"/>
      <c r="N11" s="7"/>
    </row>
    <row r="12" spans="2:20" ht="15.95" customHeight="1"/>
    <row r="13" spans="2:20" ht="42" customHeight="1" thickBot="1">
      <c r="B13" s="81" t="s">
        <v>36</v>
      </c>
      <c r="C13" s="82"/>
      <c r="D13" s="82"/>
      <c r="E13" s="82"/>
      <c r="F13" s="82"/>
      <c r="I13" s="81" t="s">
        <v>37</v>
      </c>
      <c r="J13" s="82"/>
      <c r="K13" s="82"/>
      <c r="L13" s="82"/>
      <c r="M13" s="82"/>
      <c r="N13" s="21"/>
    </row>
    <row r="14" spans="2:20" ht="15.75" thickBot="1">
      <c r="B14" s="42"/>
      <c r="C14" s="83" t="s">
        <v>42</v>
      </c>
      <c r="D14" s="84"/>
      <c r="E14" s="84"/>
      <c r="F14" s="85"/>
      <c r="I14" s="42"/>
      <c r="J14" s="83" t="s">
        <v>42</v>
      </c>
      <c r="K14" s="84"/>
      <c r="L14" s="84"/>
      <c r="M14" s="85"/>
      <c r="N14" s="41"/>
    </row>
    <row r="15" spans="2:20" ht="15.75" thickBot="1">
      <c r="B15" s="29" t="s">
        <v>43</v>
      </c>
      <c r="C15" s="5" t="s">
        <v>44</v>
      </c>
      <c r="D15" s="27" t="s">
        <v>45</v>
      </c>
      <c r="E15" s="26" t="s">
        <v>46</v>
      </c>
      <c r="F15" s="5" t="s">
        <v>47</v>
      </c>
      <c r="I15" s="29" t="s">
        <v>43</v>
      </c>
      <c r="J15" s="5" t="s">
        <v>44</v>
      </c>
      <c r="K15" s="27" t="s">
        <v>45</v>
      </c>
      <c r="L15" s="26" t="s">
        <v>46</v>
      </c>
      <c r="M15" s="5" t="s">
        <v>48</v>
      </c>
      <c r="N15" s="7"/>
    </row>
    <row r="16" spans="2:20" ht="15.75" thickBot="1">
      <c r="B16" s="35">
        <v>1</v>
      </c>
      <c r="C16" s="38">
        <f>'Promedios Fork'!$C16</f>
        <v>4976830.4333333336</v>
      </c>
      <c r="D16" s="38">
        <f>'Promedios OpenMP'!$C16</f>
        <v>4916429.8666666662</v>
      </c>
      <c r="E16" s="19">
        <f>'Promedios Posix'!$C16</f>
        <v>4966478.5999999996</v>
      </c>
      <c r="F16" s="52">
        <f>'Promedios FilasOpenMP'!C16</f>
        <v>4150145.5333333332</v>
      </c>
      <c r="I16" s="35">
        <v>1</v>
      </c>
      <c r="J16" s="38">
        <f>'Promedios Fork'!$J16</f>
        <v>21002910.166666668</v>
      </c>
      <c r="K16" s="38">
        <f>'Promedios OpenMP'!$J16</f>
        <v>20248773.899999999</v>
      </c>
      <c r="L16" s="19">
        <f>'Promedios Posix'!$J16</f>
        <v>21374004.666666668</v>
      </c>
      <c r="M16" s="52">
        <f>'Promedios FilasOpenMP'!J16</f>
        <v>13084449.966666667</v>
      </c>
      <c r="N16" s="7"/>
    </row>
    <row r="17" spans="2:14" ht="15.75" thickBot="1">
      <c r="B17" s="36">
        <v>2</v>
      </c>
      <c r="C17" s="38">
        <f>'Promedios Fork'!$C17</f>
        <v>2384519.5333333332</v>
      </c>
      <c r="D17" s="38">
        <f>'Promedios OpenMP'!$C17</f>
        <v>2440560.1</v>
      </c>
      <c r="E17" s="19">
        <f>'Promedios Posix'!$C17</f>
        <v>2422897.3333333335</v>
      </c>
      <c r="F17" s="52">
        <f>'Promedios FilasOpenMP'!C17</f>
        <v>18118152.433333334</v>
      </c>
      <c r="I17" s="36">
        <v>2</v>
      </c>
      <c r="J17" s="38">
        <f>'Promedios Fork'!$J17</f>
        <v>10312810.033333333</v>
      </c>
      <c r="K17" s="38">
        <f>'Promedios OpenMP'!$J17</f>
        <v>9968618.8666666672</v>
      </c>
      <c r="L17" s="19">
        <f>'Promedios Posix'!$J17</f>
        <v>10246799</v>
      </c>
      <c r="M17" s="52">
        <f>'Promedios FilasOpenMP'!J17</f>
        <v>65377128.100000001</v>
      </c>
      <c r="N17" s="7"/>
    </row>
    <row r="18" spans="2:14" ht="15.75" thickBot="1">
      <c r="B18" s="35">
        <v>4</v>
      </c>
      <c r="C18" s="38">
        <f>'Promedios Fork'!$C18</f>
        <v>1083383.5666666667</v>
      </c>
      <c r="D18" s="38">
        <f>'Promedios OpenMP'!$C18</f>
        <v>1073268.5666666667</v>
      </c>
      <c r="E18" s="19">
        <f>'Promedios Posix'!$C18</f>
        <v>1100681.2333333334</v>
      </c>
      <c r="F18" s="52">
        <f>'Promedios FilasOpenMP'!C18</f>
        <v>26157941.266666666</v>
      </c>
      <c r="I18" s="35">
        <v>4</v>
      </c>
      <c r="J18" s="38">
        <f>'Promedios Fork'!$J18</f>
        <v>5042021.166666667</v>
      </c>
      <c r="K18" s="38">
        <f>'Promedios OpenMP'!$J18</f>
        <v>5080173.5</v>
      </c>
      <c r="L18" s="19">
        <f>'Promedios Posix'!$J18</f>
        <v>5265513.9000000004</v>
      </c>
      <c r="M18" s="52">
        <f>'Promedios FilasOpenMP'!J18</f>
        <v>58872844.100000001</v>
      </c>
      <c r="N18" s="7"/>
    </row>
    <row r="19" spans="2:14" ht="15.75" thickBot="1">
      <c r="B19" s="35">
        <v>8</v>
      </c>
      <c r="C19" s="38">
        <f>'Promedios Fork'!$C19</f>
        <v>1127360.3999999999</v>
      </c>
      <c r="D19" s="38">
        <f>'Promedios OpenMP'!$C19</f>
        <v>1067125.9666666666</v>
      </c>
      <c r="E19" s="19">
        <f>'Promedios Posix'!$C19</f>
        <v>1066073.6000000001</v>
      </c>
      <c r="F19" s="52">
        <f>'Promedios FilasOpenMP'!C19</f>
        <v>11914620.066666666</v>
      </c>
      <c r="I19" s="35">
        <v>8</v>
      </c>
      <c r="J19" s="38">
        <f>'Promedios Fork'!$J19</f>
        <v>4308623.7</v>
      </c>
      <c r="K19" s="38">
        <f>'Promedios OpenMP'!$J19</f>
        <v>4076102.2666666666</v>
      </c>
      <c r="L19" s="19">
        <f>'Promedios Posix'!$J19</f>
        <v>4128583.6333333333</v>
      </c>
      <c r="M19" s="52">
        <f>'Promedios FilasOpenMP'!J19</f>
        <v>39674971.133333333</v>
      </c>
      <c r="N19" s="7"/>
    </row>
    <row r="20" spans="2:14" ht="15.75" thickBot="1">
      <c r="B20" s="35">
        <v>10</v>
      </c>
      <c r="C20" s="38">
        <f>'Promedios Fork'!$C20</f>
        <v>1083518.1000000001</v>
      </c>
      <c r="D20" s="38">
        <f>'Promedios OpenMP'!$C20</f>
        <v>1053042.9333333333</v>
      </c>
      <c r="E20" s="19">
        <f>'Promedios Posix'!$C20</f>
        <v>1067517.3</v>
      </c>
      <c r="F20" s="52">
        <f>'Promedios FilasOpenMP'!C20</f>
        <v>19680356.366666667</v>
      </c>
      <c r="I20" s="35">
        <v>10</v>
      </c>
      <c r="J20" s="38">
        <f>'Promedios Fork'!$J20</f>
        <v>4555716.2</v>
      </c>
      <c r="K20" s="38">
        <f>'Promedios OpenMP'!$J20</f>
        <v>4365250</v>
      </c>
      <c r="L20" s="19">
        <f>'Promedios Posix'!$J20</f>
        <v>4422448.0666666664</v>
      </c>
      <c r="M20" s="52">
        <f>'Promedios FilasOpenMP'!J20</f>
        <v>70249882.766666666</v>
      </c>
      <c r="N20" s="7"/>
    </row>
    <row r="21" spans="2:14" ht="16.5" customHeight="1">
      <c r="B21" s="49"/>
      <c r="C21" s="7"/>
      <c r="D21" s="7"/>
      <c r="E21" s="7"/>
      <c r="F21" s="7"/>
      <c r="G21" s="49"/>
      <c r="H21" s="7"/>
      <c r="I21" s="7"/>
      <c r="J21" s="7"/>
      <c r="K21" s="7"/>
      <c r="L21" s="7"/>
      <c r="M21" s="7"/>
      <c r="N21" s="7"/>
    </row>
    <row r="30" spans="2:14" ht="44.1" customHeight="1"/>
  </sheetData>
  <mergeCells count="10">
    <mergeCell ref="I13:M13"/>
    <mergeCell ref="B13:F13"/>
    <mergeCell ref="J14:M14"/>
    <mergeCell ref="C14:F14"/>
    <mergeCell ref="P3:T3"/>
    <mergeCell ref="Q4:T4"/>
    <mergeCell ref="I3:M3"/>
    <mergeCell ref="J4:M4"/>
    <mergeCell ref="B3:F3"/>
    <mergeCell ref="C4:F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60EC-241C-432C-89C2-0B2DE716A0C2}">
  <dimension ref="B2:T30"/>
  <sheetViews>
    <sheetView topLeftCell="B15" zoomScale="68" zoomScaleNormal="55" workbookViewId="0">
      <selection activeCell="S22" sqref="S22"/>
    </sheetView>
  </sheetViews>
  <sheetFormatPr defaultColWidth="10.85546875" defaultRowHeight="15"/>
  <cols>
    <col min="1" max="1" width="14.42578125" style="4" customWidth="1"/>
    <col min="2" max="2" width="24.140625" style="4" customWidth="1"/>
    <col min="3" max="3" width="26.5703125" style="4" customWidth="1"/>
    <col min="4" max="4" width="22" style="4" customWidth="1"/>
    <col min="5" max="5" width="20.85546875" style="4" customWidth="1"/>
    <col min="6" max="6" width="19.140625" style="4" customWidth="1"/>
    <col min="7" max="7" width="19.85546875" style="4" customWidth="1"/>
    <col min="8" max="8" width="20.7109375" style="4" customWidth="1"/>
    <col min="9" max="9" width="22.5703125" style="4" customWidth="1"/>
    <col min="10" max="10" width="23.42578125" style="4" customWidth="1"/>
    <col min="11" max="11" width="24.42578125" style="4" customWidth="1"/>
    <col min="12" max="12" width="16.85546875" style="4" customWidth="1"/>
    <col min="13" max="13" width="24.42578125" style="4" customWidth="1"/>
    <col min="14" max="14" width="23.5703125" style="4" customWidth="1"/>
    <col min="15" max="15" width="10.85546875" style="4"/>
    <col min="16" max="16" width="18.85546875" style="4" customWidth="1"/>
    <col min="17" max="17" width="17.7109375" style="4" customWidth="1"/>
    <col min="18" max="18" width="17" style="4" customWidth="1"/>
    <col min="19" max="19" width="18.7109375" style="4" customWidth="1"/>
    <col min="20" max="20" width="18.42578125" style="4" customWidth="1"/>
    <col min="21" max="16384" width="10.85546875" style="4"/>
  </cols>
  <sheetData>
    <row r="2" spans="2:20" ht="15" customHeight="1">
      <c r="B2" s="25"/>
    </row>
    <row r="3" spans="2:20" ht="39" customHeight="1" thickBot="1">
      <c r="B3" s="81" t="s">
        <v>31</v>
      </c>
      <c r="C3" s="82"/>
      <c r="D3" s="82"/>
      <c r="E3" s="82"/>
      <c r="F3" s="82"/>
      <c r="I3" s="81" t="s">
        <v>32</v>
      </c>
      <c r="J3" s="82"/>
      <c r="K3" s="82"/>
      <c r="L3" s="82"/>
      <c r="M3" s="82"/>
      <c r="N3" s="21"/>
      <c r="P3" s="81" t="s">
        <v>33</v>
      </c>
      <c r="Q3" s="82"/>
      <c r="R3" s="82"/>
      <c r="S3" s="82"/>
      <c r="T3" s="82"/>
    </row>
    <row r="4" spans="2:20" ht="21.95" customHeight="1" thickBot="1">
      <c r="B4" s="42"/>
      <c r="C4" s="83" t="s">
        <v>42</v>
      </c>
      <c r="D4" s="84"/>
      <c r="E4" s="84"/>
      <c r="F4" s="85"/>
      <c r="I4" s="42"/>
      <c r="J4" s="78" t="s">
        <v>42</v>
      </c>
      <c r="K4" s="79"/>
      <c r="L4" s="79"/>
      <c r="M4" s="80"/>
      <c r="N4" s="41"/>
      <c r="P4" s="42"/>
      <c r="Q4" s="78" t="s">
        <v>42</v>
      </c>
      <c r="R4" s="79"/>
      <c r="S4" s="79"/>
      <c r="T4" s="80"/>
    </row>
    <row r="5" spans="2:20" ht="15.75" thickBot="1">
      <c r="B5" s="29" t="s">
        <v>43</v>
      </c>
      <c r="C5" s="5" t="s">
        <v>44</v>
      </c>
      <c r="D5" s="27" t="s">
        <v>45</v>
      </c>
      <c r="E5" s="26" t="s">
        <v>46</v>
      </c>
      <c r="F5" s="27" t="s">
        <v>47</v>
      </c>
      <c r="I5" s="29" t="s">
        <v>43</v>
      </c>
      <c r="J5" s="5" t="s">
        <v>44</v>
      </c>
      <c r="K5" s="27" t="s">
        <v>45</v>
      </c>
      <c r="L5" s="26" t="s">
        <v>46</v>
      </c>
      <c r="M5" s="5" t="s">
        <v>48</v>
      </c>
      <c r="N5" s="7"/>
      <c r="P5" s="29" t="s">
        <v>43</v>
      </c>
      <c r="Q5" s="5" t="s">
        <v>44</v>
      </c>
      <c r="R5" s="27" t="s">
        <v>45</v>
      </c>
      <c r="S5" s="26" t="s">
        <v>46</v>
      </c>
      <c r="T5" s="5" t="s">
        <v>48</v>
      </c>
    </row>
    <row r="6" spans="2:20" ht="15.75" thickBot="1">
      <c r="B6" s="35">
        <v>1</v>
      </c>
      <c r="C6" s="38">
        <f>'Promedios Fork'!D6</f>
        <v>320.46666666666664</v>
      </c>
      <c r="D6" s="38">
        <f>'Promedios OpenMP'!$D6</f>
        <v>77.13333333333334</v>
      </c>
      <c r="E6" s="19">
        <f>'Promedios Posix'!$D6</f>
        <v>1811.3333333333333</v>
      </c>
      <c r="F6" s="52">
        <f>'Promedios FilasOpenMP'!D6</f>
        <v>141.06666666666666</v>
      </c>
      <c r="I6" s="35">
        <v>1</v>
      </c>
      <c r="J6" s="38">
        <f>'Promedios Fork'!$K6</f>
        <v>975.06666666666672</v>
      </c>
      <c r="K6" s="38">
        <f>'Promedios OpenMP'!$K6</f>
        <v>680.56666666666672</v>
      </c>
      <c r="L6" s="19">
        <f>'Promedios Posix'!$K6</f>
        <v>1709.8333333333333</v>
      </c>
      <c r="M6" s="52">
        <f>'Promedios FilasOpenMP'!K6</f>
        <v>1506.4666666666667</v>
      </c>
      <c r="N6" s="7"/>
      <c r="P6" s="35">
        <v>1</v>
      </c>
      <c r="Q6" s="38">
        <f>'Promedios Fork'!$R6</f>
        <v>117021.36666666667</v>
      </c>
      <c r="R6" s="38">
        <f>'Promedios OpenMP'!$R6</f>
        <v>115084.53333333334</v>
      </c>
      <c r="S6" s="19">
        <f>'Promedios Posix'!$R6</f>
        <v>114393.7</v>
      </c>
      <c r="T6" s="52">
        <f>'Promedios FilasOpenMP'!R6</f>
        <v>160720.4</v>
      </c>
    </row>
    <row r="7" spans="2:20" ht="15.75" thickBot="1">
      <c r="B7" s="36">
        <v>2</v>
      </c>
      <c r="C7" s="38">
        <f>'Promedios Fork'!D7</f>
        <v>351.96666666666664</v>
      </c>
      <c r="D7" s="38">
        <f>'Promedios OpenMP'!$D7</f>
        <v>432.6</v>
      </c>
      <c r="E7" s="19">
        <f>'Promedios Posix'!$D7</f>
        <v>1046.7</v>
      </c>
      <c r="F7" s="52">
        <f>'Promedios FilasOpenMP'!D7</f>
        <v>1776.8</v>
      </c>
      <c r="I7" s="36">
        <v>2</v>
      </c>
      <c r="J7" s="38">
        <f>'Promedios Fork'!$K7</f>
        <v>881.2</v>
      </c>
      <c r="K7" s="38">
        <f>'Promedios OpenMP'!$K7</f>
        <v>459.5</v>
      </c>
      <c r="L7" s="19">
        <f>'Promedios Posix'!$K7</f>
        <v>1229.3666666666666</v>
      </c>
      <c r="M7" s="52">
        <f>'Promedios FilasOpenMP'!K7</f>
        <v>4336</v>
      </c>
      <c r="N7" s="7"/>
      <c r="P7" s="36">
        <v>2</v>
      </c>
      <c r="Q7" s="38">
        <f>'Promedios Fork'!$R7</f>
        <v>110748.93333333333</v>
      </c>
      <c r="R7" s="38">
        <f>'Promedios OpenMP'!$R7</f>
        <v>114101.03333333334</v>
      </c>
      <c r="S7" s="19">
        <f>'Promedios Posix'!$R7</f>
        <v>109309</v>
      </c>
      <c r="T7" s="52">
        <f>'Promedios FilasOpenMP'!R7</f>
        <v>146649.63333333333</v>
      </c>
    </row>
    <row r="8" spans="2:20" ht="15.75" thickBot="1">
      <c r="B8" s="35">
        <v>4</v>
      </c>
      <c r="C8" s="38">
        <f>'Promedios Fork'!D8</f>
        <v>853.8</v>
      </c>
      <c r="D8" s="38">
        <f>'Promedios OpenMP'!$D8</f>
        <v>1354</v>
      </c>
      <c r="E8" s="19">
        <f>'Promedios Posix'!$D8</f>
        <v>1447.4</v>
      </c>
      <c r="F8" s="52">
        <f>'Promedios FilasOpenMP'!D8</f>
        <v>7505.6333333333332</v>
      </c>
      <c r="I8" s="35">
        <v>4</v>
      </c>
      <c r="J8" s="38">
        <f>'Promedios Fork'!$K8</f>
        <v>770.1</v>
      </c>
      <c r="K8" s="38">
        <f>'Promedios OpenMP'!$K8</f>
        <v>3501.5</v>
      </c>
      <c r="L8" s="19">
        <f>'Promedios Posix'!$K8</f>
        <v>1223.2666666666667</v>
      </c>
      <c r="M8" s="52">
        <f>'Promedios FilasOpenMP'!K8</f>
        <v>8065</v>
      </c>
      <c r="N8" s="7"/>
      <c r="P8" s="35">
        <v>4</v>
      </c>
      <c r="Q8" s="38">
        <f>'Promedios Fork'!$R8</f>
        <v>129553.1</v>
      </c>
      <c r="R8" s="38">
        <f>'Promedios OpenMP'!$R8</f>
        <v>133641.79999999999</v>
      </c>
      <c r="S8" s="19">
        <f>'Promedios Posix'!$R8</f>
        <v>114348.33333333333</v>
      </c>
      <c r="T8" s="52">
        <f>'Promedios FilasOpenMP'!R8</f>
        <v>146732.53333333333</v>
      </c>
    </row>
    <row r="9" spans="2:20" ht="15.75" thickBot="1">
      <c r="B9" s="35">
        <v>8</v>
      </c>
      <c r="C9" s="38">
        <f>'Promedios Fork'!D9</f>
        <v>1446.2666666666667</v>
      </c>
      <c r="D9" s="38">
        <f>'Promedios OpenMP'!$D9</f>
        <v>466.93333333333334</v>
      </c>
      <c r="E9" s="19">
        <f>'Promedios Posix'!$D9</f>
        <v>1261.6333333333334</v>
      </c>
      <c r="F9" s="52">
        <f>'Promedios FilasOpenMP'!D9</f>
        <v>3525.7</v>
      </c>
      <c r="I9" s="35">
        <v>8</v>
      </c>
      <c r="J9" s="38">
        <f>'Promedios Fork'!$K9</f>
        <v>2088.9333333333334</v>
      </c>
      <c r="K9" s="38">
        <f>'Promedios OpenMP'!$K9</f>
        <v>963.13333333333333</v>
      </c>
      <c r="L9" s="19">
        <f>'Promedios Posix'!$K9</f>
        <v>1577.0666666666666</v>
      </c>
      <c r="M9" s="52">
        <f>'Promedios FilasOpenMP'!K9</f>
        <v>5557.4666666666662</v>
      </c>
      <c r="N9" s="7"/>
      <c r="P9" s="35">
        <v>8</v>
      </c>
      <c r="Q9" s="38">
        <f>'Promedios Fork'!$R9</f>
        <v>126029.13333333333</v>
      </c>
      <c r="R9" s="38">
        <f>'Promedios OpenMP'!$R9</f>
        <v>115451.33333333333</v>
      </c>
      <c r="S9" s="19">
        <f>'Promedios Posix'!$R9</f>
        <v>120554.93333333333</v>
      </c>
      <c r="T9" s="52">
        <f>'Promedios FilasOpenMP'!R9</f>
        <v>135386.9</v>
      </c>
    </row>
    <row r="10" spans="2:20" ht="15.75" thickBot="1">
      <c r="B10" s="35">
        <v>10</v>
      </c>
      <c r="C10" s="38">
        <f>'Promedios Fork'!D10</f>
        <v>1439.1333333333334</v>
      </c>
      <c r="D10" s="38">
        <f>'Promedios OpenMP'!$D10</f>
        <v>590.16666666666663</v>
      </c>
      <c r="E10" s="19">
        <f>'Promedios Posix'!$D10</f>
        <v>1182.2666666666667</v>
      </c>
      <c r="F10" s="52">
        <f>'Promedios FilasOpenMP'!D10</f>
        <v>1583.5333333333333</v>
      </c>
      <c r="I10" s="35">
        <v>10</v>
      </c>
      <c r="J10" s="38">
        <f>'Promedios Fork'!$K10</f>
        <v>2502.8333333333335</v>
      </c>
      <c r="K10" s="38">
        <f>'Promedios OpenMP'!$K10</f>
        <v>692.76666666666665</v>
      </c>
      <c r="L10" s="19">
        <f>'Promedios Posix'!$K10</f>
        <v>1974.8</v>
      </c>
      <c r="M10" s="52">
        <f>'Promedios FilasOpenMP'!K10</f>
        <v>1994</v>
      </c>
      <c r="N10" s="7"/>
      <c r="P10" s="35">
        <v>10</v>
      </c>
      <c r="Q10" s="38">
        <f>'Promedios Fork'!$R10</f>
        <v>134010.23333333334</v>
      </c>
      <c r="R10" s="38">
        <f>'Promedios OpenMP'!$R10</f>
        <v>122604.6</v>
      </c>
      <c r="S10" s="19">
        <f>'Promedios Posix'!$R10</f>
        <v>131966.13333333333</v>
      </c>
      <c r="T10" s="52">
        <f>'Promedios FilasOpenMP'!R10</f>
        <v>131370.33333333334</v>
      </c>
    </row>
    <row r="11" spans="2:20">
      <c r="B11" s="49"/>
      <c r="C11" s="7"/>
      <c r="D11" s="7"/>
      <c r="E11" s="7"/>
      <c r="F11" s="7"/>
      <c r="G11" s="49"/>
      <c r="H11" s="7"/>
      <c r="I11" s="7"/>
      <c r="J11" s="7"/>
      <c r="K11" s="7"/>
      <c r="L11" s="7"/>
      <c r="M11" s="7"/>
      <c r="N11" s="7"/>
    </row>
    <row r="12" spans="2:20" ht="15.95" customHeight="1"/>
    <row r="13" spans="2:20" ht="42" customHeight="1" thickBot="1">
      <c r="B13" s="81" t="s">
        <v>36</v>
      </c>
      <c r="C13" s="82"/>
      <c r="D13" s="82"/>
      <c r="E13" s="82"/>
      <c r="F13" s="82"/>
      <c r="I13" s="81" t="s">
        <v>37</v>
      </c>
      <c r="J13" s="82"/>
      <c r="K13" s="82"/>
      <c r="L13" s="82"/>
      <c r="M13" s="82"/>
      <c r="N13" s="21"/>
    </row>
    <row r="14" spans="2:20" ht="15.75" thickBot="1">
      <c r="B14" s="42"/>
      <c r="C14" s="83" t="s">
        <v>42</v>
      </c>
      <c r="D14" s="84"/>
      <c r="E14" s="84"/>
      <c r="F14" s="85"/>
      <c r="I14" s="42"/>
      <c r="J14" s="83" t="s">
        <v>42</v>
      </c>
      <c r="K14" s="84"/>
      <c r="L14" s="84"/>
      <c r="M14" s="85"/>
      <c r="N14" s="41"/>
    </row>
    <row r="15" spans="2:20" ht="15.75" thickBot="1">
      <c r="B15" s="29" t="s">
        <v>43</v>
      </c>
      <c r="C15" s="5" t="s">
        <v>44</v>
      </c>
      <c r="D15" s="27" t="s">
        <v>45</v>
      </c>
      <c r="E15" s="26" t="s">
        <v>46</v>
      </c>
      <c r="F15" s="5" t="s">
        <v>47</v>
      </c>
      <c r="I15" s="29" t="s">
        <v>43</v>
      </c>
      <c r="J15" s="5" t="s">
        <v>44</v>
      </c>
      <c r="K15" s="27" t="s">
        <v>45</v>
      </c>
      <c r="L15" s="26" t="s">
        <v>46</v>
      </c>
      <c r="M15" s="5" t="s">
        <v>48</v>
      </c>
      <c r="N15" s="7"/>
    </row>
    <row r="16" spans="2:20" ht="15.75" thickBot="1">
      <c r="B16" s="35">
        <v>1</v>
      </c>
      <c r="C16" s="38">
        <f>'Promedios Fork'!$D16</f>
        <v>933810.43333333335</v>
      </c>
      <c r="D16" s="38">
        <f>'Promedios OpenMP'!D16</f>
        <v>1002872.1666666666</v>
      </c>
      <c r="E16" s="19">
        <f>'Promedios Posix'!$D16</f>
        <v>933697.56666666665</v>
      </c>
      <c r="F16" s="52">
        <f>'Promedios FilasOpenMP'!D16</f>
        <v>1213799.5666666667</v>
      </c>
      <c r="I16" s="35">
        <v>1</v>
      </c>
      <c r="J16" s="38">
        <f>'Promedios Fork'!$K16</f>
        <v>5172375.3</v>
      </c>
      <c r="K16" s="38">
        <f>'Promedios OpenMP'!$K16</f>
        <v>5420694.4333333336</v>
      </c>
      <c r="L16" s="19">
        <f>'Promedios Posix'!$K16</f>
        <v>5042656.2666666666</v>
      </c>
      <c r="M16" s="52">
        <f>'Promedios FilasOpenMP'!K16</f>
        <v>4397756.2666666666</v>
      </c>
      <c r="N16" s="7"/>
    </row>
    <row r="17" spans="2:14" ht="15.75" thickBot="1">
      <c r="B17" s="36">
        <v>2</v>
      </c>
      <c r="C17" s="38">
        <f>'Promedios Fork'!$D17</f>
        <v>935846.16666666663</v>
      </c>
      <c r="D17" s="38">
        <f>'Promedios OpenMP'!D17</f>
        <v>958215.93333333335</v>
      </c>
      <c r="E17" s="19">
        <f>'Promedios Posix'!$D17</f>
        <v>920751.43333333335</v>
      </c>
      <c r="F17" s="52">
        <f>'Promedios FilasOpenMP'!D17</f>
        <v>1099939.2666666666</v>
      </c>
      <c r="I17" s="36">
        <v>2</v>
      </c>
      <c r="J17" s="38">
        <f>'Promedios Fork'!$K17</f>
        <v>4930737.666666667</v>
      </c>
      <c r="K17" s="38">
        <f>'Promedios OpenMP'!$K17</f>
        <v>4888161.8</v>
      </c>
      <c r="L17" s="19">
        <f>'Promedios Posix'!$K17</f>
        <v>4607654.7</v>
      </c>
      <c r="M17" s="52">
        <f>'Promedios FilasOpenMP'!K17</f>
        <v>3787534.3666666667</v>
      </c>
      <c r="N17" s="7"/>
    </row>
    <row r="18" spans="2:14" ht="15.75" thickBot="1">
      <c r="B18" s="35">
        <v>4</v>
      </c>
      <c r="C18" s="38">
        <f>'Promedios Fork'!$D18</f>
        <v>1038730.3666666667</v>
      </c>
      <c r="D18" s="38">
        <f>'Promedios OpenMP'!D18</f>
        <v>1019348.0333333333</v>
      </c>
      <c r="E18" s="19">
        <f>'Promedios Posix'!$D18</f>
        <v>995521.73333333328</v>
      </c>
      <c r="F18" s="52">
        <f>'Promedios FilasOpenMP'!D18</f>
        <v>1103606.8</v>
      </c>
      <c r="I18" s="35">
        <v>4</v>
      </c>
      <c r="J18" s="38">
        <f>'Promedios Fork'!$K18</f>
        <v>4705963.3</v>
      </c>
      <c r="K18" s="38">
        <f>'Promedios OpenMP'!$K18</f>
        <v>4620711.3</v>
      </c>
      <c r="L18" s="19">
        <f>'Promedios Posix'!$K18</f>
        <v>4610709.5333333332</v>
      </c>
      <c r="M18" s="52">
        <f>'Promedios FilasOpenMP'!K18</f>
        <v>3763904.2666666666</v>
      </c>
      <c r="N18" s="7"/>
    </row>
    <row r="19" spans="2:14" ht="15.75" thickBot="1">
      <c r="B19" s="35">
        <v>8</v>
      </c>
      <c r="C19" s="38">
        <f>'Promedios Fork'!$D19</f>
        <v>1087144.6333333333</v>
      </c>
      <c r="D19" s="38">
        <f>'Promedios OpenMP'!D19</f>
        <v>1058403.3333333333</v>
      </c>
      <c r="E19" s="19">
        <f>'Promedios Posix'!$D19</f>
        <v>1067881.5666666667</v>
      </c>
      <c r="F19" s="52">
        <f>'Promedios FilasOpenMP'!D19</f>
        <v>1097460.4333333333</v>
      </c>
      <c r="I19" s="35">
        <v>8</v>
      </c>
      <c r="J19" s="38">
        <f>'Promedios Fork'!$K19</f>
        <v>4827072.5999999996</v>
      </c>
      <c r="K19" s="38">
        <f>'Promedios OpenMP'!$K19</f>
        <v>4802868.8</v>
      </c>
      <c r="L19" s="19">
        <f>'Promedios Posix'!$K19</f>
        <v>4762460.5999999996</v>
      </c>
      <c r="M19" s="52">
        <f>'Promedios FilasOpenMP'!K19</f>
        <v>3714622.2666666666</v>
      </c>
      <c r="N19" s="7"/>
    </row>
    <row r="20" spans="2:14" ht="15.75" thickBot="1">
      <c r="B20" s="35">
        <v>10</v>
      </c>
      <c r="C20" s="38">
        <f>'Promedios Fork'!$D20</f>
        <v>1087144.6333333333</v>
      </c>
      <c r="D20" s="38">
        <f>'Promedios OpenMP'!D20</f>
        <v>1058403.3333333333</v>
      </c>
      <c r="E20" s="19">
        <f>'Promedios Posix'!$D20</f>
        <v>1067881.5666666667</v>
      </c>
      <c r="F20" s="52">
        <f>'Promedios FilasOpenMP'!D20</f>
        <v>1097460.4333333333</v>
      </c>
      <c r="I20" s="35">
        <v>10</v>
      </c>
      <c r="J20" s="38">
        <f>'Promedios Fork'!$K20</f>
        <v>4872267.0666666664</v>
      </c>
      <c r="K20" s="38">
        <f>'Promedios OpenMP'!$K20</f>
        <v>4796286.1333333338</v>
      </c>
      <c r="L20" s="19">
        <f>'Promedios Posix'!$K20</f>
        <v>4807465</v>
      </c>
      <c r="M20" s="52">
        <f>'Promedios FilasOpenMP'!K20</f>
        <v>3775640.0666666669</v>
      </c>
      <c r="N20" s="7"/>
    </row>
    <row r="21" spans="2:14" ht="16.5" customHeight="1">
      <c r="B21" s="49"/>
      <c r="C21" s="7"/>
      <c r="D21" s="7"/>
      <c r="E21" s="7"/>
      <c r="F21" s="7"/>
      <c r="G21" s="49"/>
      <c r="H21" s="7"/>
      <c r="I21" s="7"/>
      <c r="J21" s="7"/>
      <c r="K21" s="7"/>
      <c r="L21" s="7"/>
      <c r="M21" s="7"/>
      <c r="N21" s="7"/>
    </row>
    <row r="30" spans="2:14" ht="44.1" customHeight="1"/>
  </sheetData>
  <mergeCells count="10">
    <mergeCell ref="C14:F14"/>
    <mergeCell ref="J14:M14"/>
    <mergeCell ref="P3:T3"/>
    <mergeCell ref="C4:F4"/>
    <mergeCell ref="J4:M4"/>
    <mergeCell ref="Q4:T4"/>
    <mergeCell ref="B13:F13"/>
    <mergeCell ref="I13:M13"/>
    <mergeCell ref="B3:F3"/>
    <mergeCell ref="I3:M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9BC6-EDF7-4E0B-8B5A-0C48C940069C}">
  <dimension ref="B2:T30"/>
  <sheetViews>
    <sheetView topLeftCell="B15" zoomScale="68" zoomScaleNormal="55" workbookViewId="0">
      <selection activeCell="K23" sqref="K23"/>
    </sheetView>
  </sheetViews>
  <sheetFormatPr defaultColWidth="10.85546875" defaultRowHeight="15"/>
  <cols>
    <col min="1" max="1" width="14.42578125" style="4" customWidth="1"/>
    <col min="2" max="2" width="24.140625" style="4" customWidth="1"/>
    <col min="3" max="3" width="26.5703125" style="4" customWidth="1"/>
    <col min="4" max="4" width="22" style="4" customWidth="1"/>
    <col min="5" max="5" width="20.85546875" style="4" customWidth="1"/>
    <col min="6" max="6" width="21.7109375" style="4" customWidth="1"/>
    <col min="7" max="7" width="19.85546875" style="4" customWidth="1"/>
    <col min="8" max="8" width="20.7109375" style="4" customWidth="1"/>
    <col min="9" max="9" width="22.5703125" style="4" customWidth="1"/>
    <col min="10" max="10" width="23.42578125" style="4" customWidth="1"/>
    <col min="11" max="11" width="24.42578125" style="4" customWidth="1"/>
    <col min="12" max="12" width="16.85546875" style="4" customWidth="1"/>
    <col min="13" max="13" width="24.42578125" style="4" customWidth="1"/>
    <col min="14" max="14" width="23.5703125" style="4" customWidth="1"/>
    <col min="15" max="15" width="10.85546875" style="4"/>
    <col min="16" max="16" width="21.7109375" style="4" customWidth="1"/>
    <col min="17" max="17" width="24.140625" style="4" customWidth="1"/>
    <col min="18" max="18" width="19.28515625" style="4" customWidth="1"/>
    <col min="19" max="19" width="21" style="4" customWidth="1"/>
    <col min="20" max="20" width="19" style="4" customWidth="1"/>
    <col min="21" max="16384" width="10.85546875" style="4"/>
  </cols>
  <sheetData>
    <row r="2" spans="2:20" ht="15" customHeight="1">
      <c r="B2" s="25"/>
    </row>
    <row r="3" spans="2:20" ht="39" customHeight="1" thickBot="1">
      <c r="B3" s="81" t="s">
        <v>31</v>
      </c>
      <c r="C3" s="82"/>
      <c r="D3" s="82"/>
      <c r="E3" s="82"/>
      <c r="F3" s="82"/>
      <c r="I3" s="81" t="s">
        <v>32</v>
      </c>
      <c r="J3" s="82"/>
      <c r="K3" s="82"/>
      <c r="L3" s="82"/>
      <c r="M3" s="82"/>
      <c r="N3" s="21"/>
      <c r="P3" s="81" t="s">
        <v>33</v>
      </c>
      <c r="Q3" s="82"/>
      <c r="R3" s="82"/>
      <c r="S3" s="82"/>
      <c r="T3" s="82"/>
    </row>
    <row r="4" spans="2:20" ht="21.95" customHeight="1" thickBot="1">
      <c r="B4" s="42"/>
      <c r="C4" s="83" t="s">
        <v>42</v>
      </c>
      <c r="D4" s="84"/>
      <c r="E4" s="84"/>
      <c r="F4" s="85"/>
      <c r="I4" s="42"/>
      <c r="J4" s="78" t="s">
        <v>42</v>
      </c>
      <c r="K4" s="79"/>
      <c r="L4" s="79"/>
      <c r="M4" s="80"/>
      <c r="N4" s="41"/>
      <c r="P4" s="42"/>
      <c r="Q4" s="78" t="s">
        <v>42</v>
      </c>
      <c r="R4" s="79"/>
      <c r="S4" s="79"/>
      <c r="T4" s="80"/>
    </row>
    <row r="5" spans="2:20" ht="15.75" thickBot="1">
      <c r="B5" s="29" t="s">
        <v>43</v>
      </c>
      <c r="C5" s="5" t="s">
        <v>44</v>
      </c>
      <c r="D5" s="27" t="s">
        <v>45</v>
      </c>
      <c r="E5" s="26" t="s">
        <v>46</v>
      </c>
      <c r="F5" s="27" t="s">
        <v>47</v>
      </c>
      <c r="I5" s="29" t="s">
        <v>43</v>
      </c>
      <c r="J5" s="5" t="s">
        <v>44</v>
      </c>
      <c r="K5" s="27" t="s">
        <v>45</v>
      </c>
      <c r="L5" s="26" t="s">
        <v>46</v>
      </c>
      <c r="M5" s="5" t="s">
        <v>48</v>
      </c>
      <c r="N5" s="7"/>
      <c r="P5" s="29" t="s">
        <v>43</v>
      </c>
      <c r="Q5" s="5" t="s">
        <v>44</v>
      </c>
      <c r="R5" s="27" t="s">
        <v>45</v>
      </c>
      <c r="S5" s="26" t="s">
        <v>46</v>
      </c>
      <c r="T5" s="5" t="s">
        <v>48</v>
      </c>
    </row>
    <row r="6" spans="2:20" ht="15.75" thickBot="1">
      <c r="B6" s="35">
        <v>1</v>
      </c>
      <c r="C6" s="38">
        <f>'Promedios Fork'!E6</f>
        <v>415.63333333333333</v>
      </c>
      <c r="D6" s="38">
        <f>'Promedios OpenMP'!$E6</f>
        <v>257.93333333333334</v>
      </c>
      <c r="E6" s="19">
        <f>'Promedios Posix'!$E6</f>
        <v>437.8</v>
      </c>
      <c r="F6" s="52">
        <f>'Promedios FilasOpenMP'!E6</f>
        <v>256.33333333333331</v>
      </c>
      <c r="I6" s="35">
        <v>1</v>
      </c>
      <c r="J6" s="38">
        <f>'Promedios Fork'!$L6</f>
        <v>2033.7333333333333</v>
      </c>
      <c r="K6" s="38">
        <f>'Promedios OpenMP'!$L6</f>
        <v>1907</v>
      </c>
      <c r="L6" s="19">
        <f>'Promedios Posix'!$L6</f>
        <v>1907</v>
      </c>
      <c r="M6" s="52">
        <f>'Promedios FilasOpenMP'!L6</f>
        <v>1907</v>
      </c>
      <c r="N6" s="7"/>
      <c r="P6" s="35">
        <v>1</v>
      </c>
      <c r="Q6" s="38">
        <f>'Promedios Fork'!$S6</f>
        <v>229871.3</v>
      </c>
      <c r="R6" s="38">
        <f>'Promedios OpenMP'!$S6</f>
        <v>242046.93333333332</v>
      </c>
      <c r="S6" s="19">
        <f>'Promedios Posix'!$S6</f>
        <v>231003</v>
      </c>
      <c r="T6" s="52">
        <f>'Promedios FilasOpenMP'!S6</f>
        <v>246135.73333333334</v>
      </c>
    </row>
    <row r="7" spans="2:20" ht="15.75" thickBot="1">
      <c r="B7" s="36">
        <v>2</v>
      </c>
      <c r="C7" s="38">
        <f>'Promedios Fork'!E7</f>
        <v>360.66666666666669</v>
      </c>
      <c r="D7" s="38">
        <f>'Promedios OpenMP'!$E7</f>
        <v>168</v>
      </c>
      <c r="E7" s="19">
        <f>'Promedios Posix'!$E7</f>
        <v>168</v>
      </c>
      <c r="F7" s="52">
        <f>'Promedios FilasOpenMP'!E7</f>
        <v>168</v>
      </c>
      <c r="I7" s="36">
        <v>2</v>
      </c>
      <c r="J7" s="38">
        <f>'Promedios Fork'!$L7</f>
        <v>1260.6666666666667</v>
      </c>
      <c r="K7" s="38">
        <f>'Promedios OpenMP'!$L7</f>
        <v>1078</v>
      </c>
      <c r="L7" s="19">
        <f>'Promedios Posix'!$L7</f>
        <v>1078</v>
      </c>
      <c r="M7" s="52">
        <f>'Promedios FilasOpenMP'!L7</f>
        <v>1078</v>
      </c>
      <c r="N7" s="7"/>
      <c r="P7" s="36">
        <v>2</v>
      </c>
      <c r="Q7" s="38">
        <f>'Promedios Fork'!$S7</f>
        <v>158720.79999999999</v>
      </c>
      <c r="R7" s="38">
        <f>'Promedios OpenMP'!$S7</f>
        <v>122834.13333333333</v>
      </c>
      <c r="S7" s="19">
        <f>'Promedios Posix'!$S7</f>
        <v>122967.5</v>
      </c>
      <c r="T7" s="52">
        <f>'Promedios FilasOpenMP'!S7</f>
        <v>706038.93333333335</v>
      </c>
    </row>
    <row r="8" spans="2:20" ht="15.75" thickBot="1">
      <c r="B8" s="35">
        <v>4</v>
      </c>
      <c r="C8" s="38">
        <f>'Promedios Fork'!E8</f>
        <v>447.63333333333333</v>
      </c>
      <c r="D8" s="38">
        <f>'Promedios OpenMP'!$E8</f>
        <v>229</v>
      </c>
      <c r="E8" s="19">
        <f>'Promedios Posix'!$E8</f>
        <v>229</v>
      </c>
      <c r="F8" s="52">
        <f>'Promedios FilasOpenMP'!E8</f>
        <v>229</v>
      </c>
      <c r="I8" s="35">
        <v>4</v>
      </c>
      <c r="J8" s="38">
        <f>'Promedios Fork'!$L8</f>
        <v>1055.5333333333333</v>
      </c>
      <c r="K8" s="38">
        <f>'Promedios OpenMP'!$L8</f>
        <v>674</v>
      </c>
      <c r="L8" s="19">
        <f>'Promedios Posix'!$L8</f>
        <v>674</v>
      </c>
      <c r="M8" s="52">
        <f>'Promedios FilasOpenMP'!L8</f>
        <v>674</v>
      </c>
      <c r="N8" s="7"/>
      <c r="P8" s="35">
        <v>4</v>
      </c>
      <c r="Q8" s="38">
        <f>'Promedios Fork'!$S8</f>
        <v>76144.566666666666</v>
      </c>
      <c r="R8" s="38">
        <f>'Promedios OpenMP'!$S8</f>
        <v>78625.666666666672</v>
      </c>
      <c r="S8" s="19">
        <f>'Promedios Posix'!$S8</f>
        <v>77034.100000000006</v>
      </c>
      <c r="T8" s="52">
        <f>'Promedios FilasOpenMP'!S8</f>
        <v>890051.33333333337</v>
      </c>
    </row>
    <row r="9" spans="2:20" ht="15.75" thickBot="1">
      <c r="B9" s="35">
        <v>8</v>
      </c>
      <c r="C9" s="38">
        <f>'Promedios Fork'!E9</f>
        <v>697.76666666666665</v>
      </c>
      <c r="D9" s="38">
        <f>'Promedios OpenMP'!$E9</f>
        <v>448</v>
      </c>
      <c r="E9" s="19">
        <f>'Promedios Posix'!$E9</f>
        <v>448</v>
      </c>
      <c r="F9" s="52">
        <f>'Promedios FilasOpenMP'!E9</f>
        <v>448</v>
      </c>
      <c r="I9" s="35">
        <v>8</v>
      </c>
      <c r="J9" s="38">
        <f>'Promedios Fork'!$L9</f>
        <v>1031.8666666666666</v>
      </c>
      <c r="K9" s="38">
        <f>'Promedios OpenMP'!$L9</f>
        <v>707</v>
      </c>
      <c r="L9" s="19">
        <f>'Promedios Posix'!$L9</f>
        <v>707</v>
      </c>
      <c r="M9" s="52">
        <f>'Promedios FilasOpenMP'!L9</f>
        <v>707</v>
      </c>
      <c r="N9" s="7"/>
      <c r="P9" s="35">
        <v>8</v>
      </c>
      <c r="Q9" s="38">
        <f>'Promedios Fork'!$S9</f>
        <v>46780.466666666667</v>
      </c>
      <c r="R9" s="38">
        <f>'Promedios OpenMP'!$S9</f>
        <v>49512.566666666666</v>
      </c>
      <c r="S9" s="19">
        <f>'Promedios Posix'!$S9</f>
        <v>47523.23333333333</v>
      </c>
      <c r="T9" s="52">
        <f>'Promedios FilasOpenMP'!S9</f>
        <v>763243.6</v>
      </c>
    </row>
    <row r="10" spans="2:20" ht="15.75" thickBot="1">
      <c r="B10" s="35">
        <v>10</v>
      </c>
      <c r="C10" s="38">
        <f>'Promedios Fork'!E10</f>
        <v>805.63333333333333</v>
      </c>
      <c r="D10" s="38">
        <f>'Promedios OpenMP'!$E10</f>
        <v>430</v>
      </c>
      <c r="E10" s="19">
        <f>'Promedios Posix'!$E10</f>
        <v>430</v>
      </c>
      <c r="F10" s="52">
        <f>'Promedios FilasOpenMP'!E10</f>
        <v>430</v>
      </c>
      <c r="I10" s="35">
        <v>10</v>
      </c>
      <c r="J10" s="38">
        <f>'Promedios Fork'!$L10</f>
        <v>1153.7666666666667</v>
      </c>
      <c r="K10" s="38">
        <f>'Promedios OpenMP'!$L10</f>
        <v>713.4</v>
      </c>
      <c r="L10" s="19">
        <f>'Promedios Posix'!$L10</f>
        <v>813.66666666666663</v>
      </c>
      <c r="M10" s="52">
        <f>'Promedios FilasOpenMP'!L10</f>
        <v>8728.7000000000007</v>
      </c>
      <c r="N10" s="7"/>
      <c r="P10" s="35">
        <v>10</v>
      </c>
      <c r="Q10" s="38">
        <f>'Promedios Fork'!$S10</f>
        <v>39158.833333333336</v>
      </c>
      <c r="R10" s="38">
        <f>'Promedios OpenMP'!$S10</f>
        <v>41767.9</v>
      </c>
      <c r="S10" s="19">
        <f>'Promedios Posix'!$S10</f>
        <v>39510.6</v>
      </c>
      <c r="T10" s="52">
        <f>'Promedios FilasOpenMP'!S10</f>
        <v>1014267.5333333333</v>
      </c>
    </row>
    <row r="11" spans="2:20">
      <c r="B11" s="49"/>
      <c r="C11" s="7"/>
      <c r="D11" s="7"/>
      <c r="E11" s="7"/>
      <c r="F11" s="7"/>
      <c r="G11" s="49"/>
      <c r="H11" s="7"/>
      <c r="I11" s="7"/>
      <c r="J11" s="7"/>
      <c r="K11" s="7"/>
      <c r="L11" s="7"/>
      <c r="M11" s="7"/>
      <c r="N11" s="7"/>
    </row>
    <row r="12" spans="2:20" ht="15.95" customHeight="1"/>
    <row r="13" spans="2:20" ht="42" customHeight="1" thickBot="1">
      <c r="B13" s="81" t="s">
        <v>36</v>
      </c>
      <c r="C13" s="82"/>
      <c r="D13" s="82"/>
      <c r="E13" s="82"/>
      <c r="F13" s="82"/>
      <c r="I13" s="81" t="s">
        <v>37</v>
      </c>
      <c r="J13" s="82"/>
      <c r="K13" s="82"/>
      <c r="L13" s="82"/>
      <c r="M13" s="82"/>
      <c r="N13" s="21"/>
    </row>
    <row r="14" spans="2:20" ht="15.75" thickBot="1">
      <c r="B14" s="42"/>
      <c r="C14" s="83" t="s">
        <v>42</v>
      </c>
      <c r="D14" s="84"/>
      <c r="E14" s="84"/>
      <c r="F14" s="85"/>
      <c r="I14" s="42"/>
      <c r="J14" s="83" t="s">
        <v>42</v>
      </c>
      <c r="K14" s="84"/>
      <c r="L14" s="84"/>
      <c r="M14" s="85"/>
      <c r="N14" s="41"/>
    </row>
    <row r="15" spans="2:20" ht="15.75" thickBot="1">
      <c r="B15" s="29" t="s">
        <v>43</v>
      </c>
      <c r="C15" s="5" t="s">
        <v>44</v>
      </c>
      <c r="D15" s="27" t="s">
        <v>45</v>
      </c>
      <c r="E15" s="26" t="s">
        <v>46</v>
      </c>
      <c r="F15" s="5" t="s">
        <v>47</v>
      </c>
      <c r="I15" s="29" t="s">
        <v>43</v>
      </c>
      <c r="J15" s="5" t="s">
        <v>44</v>
      </c>
      <c r="K15" s="27" t="s">
        <v>45</v>
      </c>
      <c r="L15" s="26" t="s">
        <v>46</v>
      </c>
      <c r="M15" s="5" t="s">
        <v>48</v>
      </c>
      <c r="N15" s="7"/>
    </row>
    <row r="16" spans="2:20" ht="15.75" thickBot="1">
      <c r="B16" s="35">
        <v>1</v>
      </c>
      <c r="C16" s="38">
        <f>'Promedios Fork'!$E16</f>
        <v>2003101.6666666667</v>
      </c>
      <c r="D16" s="38">
        <f>'Promedios OpenMP'!E16</f>
        <v>2258262</v>
      </c>
      <c r="E16" s="19">
        <f>'Promedios Posix'!$E16</f>
        <v>1991854.4666666666</v>
      </c>
      <c r="F16" s="52">
        <f>'Promedios FilasOpenMP'!E16</f>
        <v>2026459.8333333333</v>
      </c>
      <c r="I16" s="35">
        <v>1</v>
      </c>
      <c r="J16" s="38">
        <f>'Promedios Fork'!$L16</f>
        <v>8489286.3000000007</v>
      </c>
      <c r="K16" s="38">
        <f>'Promedios OpenMP'!$L16</f>
        <v>8806190.5666666664</v>
      </c>
      <c r="L16" s="19">
        <f>'Promedios Posix'!$L16</f>
        <v>8612529.666666666</v>
      </c>
      <c r="M16" s="52">
        <f>'Promedios FilasOpenMP'!L16</f>
        <v>7011196.4333333336</v>
      </c>
      <c r="N16" s="7"/>
    </row>
    <row r="17" spans="2:14" ht="15.75" thickBot="1">
      <c r="B17" s="36">
        <v>2</v>
      </c>
      <c r="C17" s="38">
        <f>'Promedios Fork'!$E17</f>
        <v>1098625.6333333333</v>
      </c>
      <c r="D17" s="38">
        <f>'Promedios OpenMP'!E17</f>
        <v>1227186.3666666667</v>
      </c>
      <c r="E17" s="19">
        <f>'Promedios Posix'!$E17</f>
        <v>1084408.6000000001</v>
      </c>
      <c r="F17" s="52">
        <f>'Promedios FilasOpenMP'!E17</f>
        <v>4612067.666666667</v>
      </c>
      <c r="I17" s="36">
        <v>2</v>
      </c>
      <c r="J17" s="38">
        <f>'Promedios Fork'!$L17</f>
        <v>4827584.5</v>
      </c>
      <c r="K17" s="38">
        <f>'Promedios OpenMP'!$L17</f>
        <v>4849300</v>
      </c>
      <c r="L17" s="19">
        <f>'Promedios Posix'!$L17</f>
        <v>4943792.333333333</v>
      </c>
      <c r="M17" s="52">
        <f>'Promedios FilasOpenMP'!L17</f>
        <v>22772497.133333333</v>
      </c>
      <c r="N17" s="7"/>
    </row>
    <row r="18" spans="2:14" ht="15.75" thickBot="1">
      <c r="B18" s="35">
        <v>4</v>
      </c>
      <c r="C18" s="38">
        <f>'Promedios Fork'!$E18</f>
        <v>650771.6333333333</v>
      </c>
      <c r="D18" s="38">
        <f>'Promedios OpenMP'!E18</f>
        <v>704286.93333333335</v>
      </c>
      <c r="E18" s="19">
        <f>'Promedios Posix'!$E18</f>
        <v>679094.43333333335</v>
      </c>
      <c r="F18" s="52">
        <f>'Promedios FilasOpenMP'!E18</f>
        <v>6340739.6333333338</v>
      </c>
      <c r="I18" s="35">
        <v>4</v>
      </c>
      <c r="J18" s="38">
        <f>'Promedios Fork'!$L18</f>
        <v>2882152.8</v>
      </c>
      <c r="K18" s="38">
        <f>'Promedios OpenMP'!$L18</f>
        <v>2886995.7</v>
      </c>
      <c r="L18" s="19">
        <f>'Promedios Posix'!$L18</f>
        <v>2903714.2</v>
      </c>
      <c r="M18" s="52">
        <f>'Promedios FilasOpenMP'!L18</f>
        <v>28115669.366666667</v>
      </c>
      <c r="N18" s="7"/>
    </row>
    <row r="19" spans="2:14" ht="15.75" thickBot="1">
      <c r="B19" s="35">
        <v>8</v>
      </c>
      <c r="C19" s="38">
        <f>'Promedios Fork'!$E19</f>
        <v>451495.8</v>
      </c>
      <c r="D19" s="38">
        <f>'Promedios OpenMP'!E19</f>
        <v>454524.76666666666</v>
      </c>
      <c r="E19" s="19">
        <f>'Promedios Posix'!$E19</f>
        <v>446858.96666666667</v>
      </c>
      <c r="F19" s="52">
        <f>'Promedios FilasOpenMP'!E19</f>
        <v>9448166.7666666675</v>
      </c>
      <c r="I19" s="35">
        <v>8</v>
      </c>
      <c r="J19" s="38">
        <f>'Promedios Fork'!$L19</f>
        <v>1983089.6333333333</v>
      </c>
      <c r="K19" s="38">
        <f>'Promedios OpenMP'!$L19</f>
        <v>1940096.3333333333</v>
      </c>
      <c r="L19" s="19">
        <f>'Promedios Posix'!$L19</f>
        <v>2026874.8</v>
      </c>
      <c r="M19" s="52">
        <f>'Promedios FilasOpenMP'!L19</f>
        <v>25132179.633333333</v>
      </c>
      <c r="N19" s="7"/>
    </row>
    <row r="20" spans="2:14">
      <c r="B20" s="50">
        <v>10</v>
      </c>
      <c r="C20" s="38">
        <f>'Promedios Fork'!$E20</f>
        <v>400235.76666666666</v>
      </c>
      <c r="D20" s="38">
        <f>'Promedios OpenMP'!E20</f>
        <v>396629.96666666667</v>
      </c>
      <c r="E20" s="19">
        <f>'Promedios Posix'!$E20</f>
        <v>401744.86666666664</v>
      </c>
      <c r="F20" s="52">
        <f>'Promedios FilasOpenMP'!E20</f>
        <v>6796339.0333333332</v>
      </c>
      <c r="I20" s="50">
        <v>10</v>
      </c>
      <c r="J20" s="38">
        <f>'Promedios Fork'!$L20</f>
        <v>1951863.8666666667</v>
      </c>
      <c r="K20" s="38">
        <f>'Promedios OpenMP'!$L20</f>
        <v>1796019.8666666667</v>
      </c>
      <c r="L20" s="19">
        <f>'Promedios Posix'!$L20</f>
        <v>1941274.8333333333</v>
      </c>
      <c r="M20" s="52">
        <f>'Promedios FilasOpenMP'!L20</f>
        <v>21790721.199999999</v>
      </c>
      <c r="N20" s="7"/>
    </row>
    <row r="21" spans="2:14" ht="16.5" customHeight="1">
      <c r="B21" s="49"/>
      <c r="C21" s="7"/>
      <c r="D21" s="7"/>
      <c r="E21" s="7"/>
      <c r="F21" s="7"/>
      <c r="G21" s="49"/>
      <c r="H21" s="7"/>
      <c r="I21" s="7"/>
      <c r="J21" s="7"/>
      <c r="K21" s="7"/>
      <c r="L21" s="7"/>
      <c r="M21" s="7"/>
      <c r="N21" s="7"/>
    </row>
    <row r="30" spans="2:14" ht="44.1" customHeight="1"/>
  </sheetData>
  <mergeCells count="10">
    <mergeCell ref="C14:F14"/>
    <mergeCell ref="J14:M14"/>
    <mergeCell ref="P3:T3"/>
    <mergeCell ref="C4:F4"/>
    <mergeCell ref="J4:M4"/>
    <mergeCell ref="Q4:T4"/>
    <mergeCell ref="B13:F13"/>
    <mergeCell ref="I13:M13"/>
    <mergeCell ref="B3:F3"/>
    <mergeCell ref="I3:M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3287-74BB-4642-822A-7388EE63E783}">
  <dimension ref="B2:T30"/>
  <sheetViews>
    <sheetView topLeftCell="A15" zoomScale="68" zoomScaleNormal="55" workbookViewId="0">
      <selection activeCell="R53" sqref="R53"/>
    </sheetView>
  </sheetViews>
  <sheetFormatPr defaultColWidth="10.85546875" defaultRowHeight="15"/>
  <cols>
    <col min="1" max="1" width="14.42578125" style="4" customWidth="1"/>
    <col min="2" max="2" width="24.140625" style="4" customWidth="1"/>
    <col min="3" max="3" width="26.5703125" style="4" customWidth="1"/>
    <col min="4" max="4" width="22" style="4" customWidth="1"/>
    <col min="5" max="5" width="20.85546875" style="4" customWidth="1"/>
    <col min="6" max="6" width="17" style="4" customWidth="1"/>
    <col min="7" max="7" width="19.85546875" style="4" customWidth="1"/>
    <col min="8" max="8" width="20.7109375" style="4" customWidth="1"/>
    <col min="9" max="9" width="22.5703125" style="4" customWidth="1"/>
    <col min="10" max="10" width="23.42578125" style="4" customWidth="1"/>
    <col min="11" max="11" width="24.42578125" style="4" customWidth="1"/>
    <col min="12" max="12" width="16.85546875" style="4" customWidth="1"/>
    <col min="13" max="13" width="24.42578125" style="4" customWidth="1"/>
    <col min="14" max="14" width="23.5703125" style="4" customWidth="1"/>
    <col min="15" max="15" width="10.85546875" style="4"/>
    <col min="16" max="16" width="20.42578125" style="4" customWidth="1"/>
    <col min="17" max="17" width="17.5703125" style="4" customWidth="1"/>
    <col min="18" max="18" width="16.85546875" style="4" customWidth="1"/>
    <col min="19" max="19" width="17.7109375" style="4" customWidth="1"/>
    <col min="20" max="20" width="17.28515625" style="4" customWidth="1"/>
    <col min="21" max="16384" width="10.85546875" style="4"/>
  </cols>
  <sheetData>
    <row r="2" spans="2:20" ht="15" customHeight="1">
      <c r="B2" s="25"/>
    </row>
    <row r="3" spans="2:20" ht="39" customHeight="1" thickBot="1">
      <c r="B3" s="81" t="s">
        <v>31</v>
      </c>
      <c r="C3" s="82"/>
      <c r="D3" s="82"/>
      <c r="E3" s="82"/>
      <c r="F3" s="82"/>
      <c r="I3" s="81" t="s">
        <v>32</v>
      </c>
      <c r="J3" s="82"/>
      <c r="K3" s="82"/>
      <c r="L3" s="82"/>
      <c r="M3" s="82"/>
      <c r="N3" s="21"/>
      <c r="P3" s="81" t="s">
        <v>33</v>
      </c>
      <c r="Q3" s="82"/>
      <c r="R3" s="82"/>
      <c r="S3" s="82"/>
      <c r="T3" s="82"/>
    </row>
    <row r="4" spans="2:20" ht="21.95" customHeight="1" thickBot="1">
      <c r="B4" s="42"/>
      <c r="C4" s="83" t="s">
        <v>42</v>
      </c>
      <c r="D4" s="84"/>
      <c r="E4" s="84"/>
      <c r="F4" s="85"/>
      <c r="I4" s="42"/>
      <c r="J4" s="78" t="s">
        <v>42</v>
      </c>
      <c r="K4" s="79"/>
      <c r="L4" s="79"/>
      <c r="M4" s="80"/>
      <c r="N4" s="41"/>
      <c r="P4" s="42"/>
      <c r="Q4" s="78" t="s">
        <v>42</v>
      </c>
      <c r="R4" s="79"/>
      <c r="S4" s="79"/>
      <c r="T4" s="80"/>
    </row>
    <row r="5" spans="2:20" ht="15.75" thickBot="1">
      <c r="B5" s="29" t="s">
        <v>43</v>
      </c>
      <c r="C5" s="5" t="s">
        <v>44</v>
      </c>
      <c r="D5" s="27" t="s">
        <v>45</v>
      </c>
      <c r="E5" s="26" t="s">
        <v>46</v>
      </c>
      <c r="F5" s="27" t="s">
        <v>47</v>
      </c>
      <c r="I5" s="29" t="s">
        <v>43</v>
      </c>
      <c r="J5" s="5" t="s">
        <v>44</v>
      </c>
      <c r="K5" s="27" t="s">
        <v>45</v>
      </c>
      <c r="L5" s="26" t="s">
        <v>46</v>
      </c>
      <c r="M5" s="5" t="s">
        <v>48</v>
      </c>
      <c r="N5" s="7"/>
      <c r="P5" s="29" t="s">
        <v>43</v>
      </c>
      <c r="Q5" s="5" t="s">
        <v>44</v>
      </c>
      <c r="R5" s="27" t="s">
        <v>45</v>
      </c>
      <c r="S5" s="26" t="s">
        <v>46</v>
      </c>
      <c r="T5" s="5" t="s">
        <v>48</v>
      </c>
    </row>
    <row r="6" spans="2:20" ht="15.75" thickBot="1">
      <c r="B6" s="35">
        <v>1</v>
      </c>
      <c r="C6" s="38">
        <f>'Promedios Fork'!F6</f>
        <v>1515.7333333333333</v>
      </c>
      <c r="D6" s="38">
        <f>'Promedios OpenMP'!$F6</f>
        <v>346.13333333333333</v>
      </c>
      <c r="E6" s="19">
        <f>'Promedios Posix'!$F6</f>
        <v>1941.6</v>
      </c>
      <c r="F6" s="52">
        <f>'Promedios FilasOpenMP'!F6</f>
        <v>457.06666666666666</v>
      </c>
      <c r="I6" s="35">
        <v>1</v>
      </c>
      <c r="J6" s="38">
        <f>'Promedios Fork'!$M6</f>
        <v>4495.7</v>
      </c>
      <c r="K6" s="38">
        <f>'Promedios OpenMP'!$M6</f>
        <v>3094.3</v>
      </c>
      <c r="L6" s="19">
        <f>'Promedios Posix'!$M6</f>
        <v>4089.3</v>
      </c>
      <c r="M6" s="52">
        <f>'Promedios FilasOpenMP'!M6</f>
        <v>3184.3333333333335</v>
      </c>
      <c r="N6" s="7"/>
      <c r="P6" s="35">
        <v>1</v>
      </c>
      <c r="Q6" s="38">
        <f>'Promedios Fork'!$T6</f>
        <v>443143.23333333334</v>
      </c>
      <c r="R6" s="38">
        <f>'Promedios OpenMP'!$T6</f>
        <v>599782.03333333333</v>
      </c>
      <c r="S6" s="19">
        <f>'Promedios Posix'!$T6</f>
        <v>395578.33333333331</v>
      </c>
      <c r="T6" s="52">
        <f>'Promedios FilasOpenMP'!T6</f>
        <v>331521.13333333336</v>
      </c>
    </row>
    <row r="7" spans="2:20" ht="15.75" thickBot="1">
      <c r="B7" s="36">
        <v>2</v>
      </c>
      <c r="C7" s="38">
        <f>'Promedios Fork'!F7</f>
        <v>1332.1</v>
      </c>
      <c r="D7" s="38">
        <f>'Promedios OpenMP'!$F7</f>
        <v>577.76666666666665</v>
      </c>
      <c r="E7" s="19">
        <f>'Promedios Posix'!$F7</f>
        <v>1133.0999999999999</v>
      </c>
      <c r="F7" s="52">
        <f>'Promedios FilasOpenMP'!F7</f>
        <v>1481.8</v>
      </c>
      <c r="I7" s="36">
        <v>2</v>
      </c>
      <c r="J7" s="38">
        <f>'Promedios Fork'!$M7</f>
        <v>3054.8666666666668</v>
      </c>
      <c r="K7" s="38">
        <f>'Promedios OpenMP'!$M7</f>
        <v>2271.0666666666666</v>
      </c>
      <c r="L7" s="19">
        <f>'Promedios Posix'!$M7</f>
        <v>2588.7666666666669</v>
      </c>
      <c r="M7" s="52">
        <f>'Promedios FilasOpenMP'!M7</f>
        <v>8739.2666666666664</v>
      </c>
      <c r="N7" s="7"/>
      <c r="P7" s="36">
        <v>2</v>
      </c>
      <c r="Q7" s="38">
        <f>'Promedios Fork'!$T7</f>
        <v>246170.03333333333</v>
      </c>
      <c r="R7" s="38">
        <f>'Promedios OpenMP'!$T7</f>
        <v>303497.86666666664</v>
      </c>
      <c r="S7" s="19">
        <f>'Promedios Posix'!$T7</f>
        <v>161960.46666666667</v>
      </c>
      <c r="T7" s="52">
        <f>'Promedios FilasOpenMP'!T7</f>
        <v>1082274.1666666667</v>
      </c>
    </row>
    <row r="8" spans="2:20" ht="15.75" thickBot="1">
      <c r="B8" s="35">
        <v>4</v>
      </c>
      <c r="C8" s="38">
        <f>'Promedios Fork'!F8</f>
        <v>1635.9666666666667</v>
      </c>
      <c r="D8" s="38">
        <f>'Promedios OpenMP'!$F8</f>
        <v>662.5333333333333</v>
      </c>
      <c r="E8" s="19">
        <f>'Promedios Posix'!$F8</f>
        <v>1217.6666666666667</v>
      </c>
      <c r="F8" s="52">
        <f>'Promedios FilasOpenMP'!F8</f>
        <v>2822.5333333333333</v>
      </c>
      <c r="I8" s="35">
        <v>4</v>
      </c>
      <c r="J8" s="38">
        <f>'Promedios Fork'!$M8</f>
        <v>2673.3</v>
      </c>
      <c r="K8" s="38">
        <f>'Promedios OpenMP'!$M8</f>
        <v>1904.2333333333333</v>
      </c>
      <c r="L8" s="19">
        <f>'Promedios Posix'!$M8</f>
        <v>2207.2333333333331</v>
      </c>
      <c r="M8" s="52">
        <f>'Promedios FilasOpenMP'!M8</f>
        <v>19000.233333333334</v>
      </c>
      <c r="N8" s="7"/>
      <c r="P8" s="35">
        <v>4</v>
      </c>
      <c r="Q8" s="38">
        <f>'Promedios Fork'!$T8</f>
        <v>147761.43333333332</v>
      </c>
      <c r="R8" s="38">
        <f>'Promedios OpenMP'!$T8</f>
        <v>188760</v>
      </c>
      <c r="S8" s="19">
        <f>'Promedios Posix'!$T8</f>
        <v>139152.86666666667</v>
      </c>
      <c r="T8" s="52">
        <f>'Promedios FilasOpenMP'!T8</f>
        <v>1842179.4333333333</v>
      </c>
    </row>
    <row r="9" spans="2:20" ht="15.75" thickBot="1">
      <c r="B9" s="35">
        <v>8</v>
      </c>
      <c r="C9" s="38">
        <f>'Promedios Fork'!F9</f>
        <v>2715</v>
      </c>
      <c r="D9" s="38">
        <f>'Promedios OpenMP'!$F9</f>
        <v>1169.0333333333333</v>
      </c>
      <c r="E9" s="19">
        <f>'Promedios Posix'!$F9</f>
        <v>1862.3</v>
      </c>
      <c r="F9" s="52">
        <f>'Promedios FilasOpenMP'!F9</f>
        <v>3330.4666666666667</v>
      </c>
      <c r="I9" s="35">
        <v>8</v>
      </c>
      <c r="J9" s="38">
        <f>'Promedios Fork'!$M9</f>
        <v>2881.6333333333332</v>
      </c>
      <c r="K9" s="38">
        <f>'Promedios OpenMP'!$M9</f>
        <v>1791.6666666666667</v>
      </c>
      <c r="L9" s="19">
        <f>'Promedios Posix'!$M9</f>
        <v>1884.4666666666667</v>
      </c>
      <c r="M9" s="52">
        <f>'Promedios FilasOpenMP'!M9</f>
        <v>23081.433333333334</v>
      </c>
      <c r="N9" s="7"/>
      <c r="P9" s="35">
        <v>8</v>
      </c>
      <c r="Q9" s="38">
        <f>'Promedios Fork'!$T9</f>
        <v>97015.666666666672</v>
      </c>
      <c r="R9" s="38">
        <f>'Promedios OpenMP'!$T9</f>
        <v>109972.9</v>
      </c>
      <c r="S9" s="19">
        <f>'Promedios Posix'!$T9</f>
        <v>91218.1</v>
      </c>
      <c r="T9" s="52">
        <f>'Promedios FilasOpenMP'!T9</f>
        <v>2468527</v>
      </c>
    </row>
    <row r="10" spans="2:20" ht="15.75" thickBot="1">
      <c r="B10" s="35">
        <v>10</v>
      </c>
      <c r="C10" s="38">
        <f>'Promedios Fork'!F10</f>
        <v>2417.3000000000002</v>
      </c>
      <c r="D10" s="38">
        <f>'Promedios OpenMP'!$F10</f>
        <v>1366.1333333333334</v>
      </c>
      <c r="E10" s="19">
        <f>'Promedios Posix'!$F10</f>
        <v>1986.6666666666667</v>
      </c>
      <c r="F10" s="52">
        <f>'Promedios FilasOpenMP'!F10</f>
        <v>4624.5333333333338</v>
      </c>
      <c r="I10" s="35">
        <v>10</v>
      </c>
      <c r="J10" s="38">
        <f>'Promedios Fork'!$M10</f>
        <v>2620.8000000000002</v>
      </c>
      <c r="K10" s="38">
        <f>'Promedios OpenMP'!$M10</f>
        <v>2043.3666666666666</v>
      </c>
      <c r="L10" s="19">
        <f>'Promedios Posix'!$M10</f>
        <v>2203.3000000000002</v>
      </c>
      <c r="M10" s="52">
        <f>'Promedios FilasOpenMP'!M10</f>
        <v>25875.9</v>
      </c>
      <c r="N10" s="7"/>
      <c r="P10" s="35">
        <v>10</v>
      </c>
      <c r="Q10" s="38">
        <f>'Promedios Fork'!$T10</f>
        <v>83724.566666666666</v>
      </c>
      <c r="R10" s="38">
        <f>'Promedios OpenMP'!$T10</f>
        <v>85268.333333333328</v>
      </c>
      <c r="S10" s="19">
        <f>'Promedios Posix'!$T10</f>
        <v>78180.566666666666</v>
      </c>
      <c r="T10" s="52">
        <f>'Promedios FilasOpenMP'!T10</f>
        <v>2509010.2666666666</v>
      </c>
    </row>
    <row r="11" spans="2:20">
      <c r="B11" s="49"/>
      <c r="C11" s="7"/>
      <c r="D11" s="7"/>
      <c r="E11" s="7"/>
      <c r="F11" s="7"/>
      <c r="G11" s="49"/>
      <c r="H11" s="7"/>
      <c r="I11" s="7"/>
      <c r="J11" s="7"/>
      <c r="K11" s="7"/>
      <c r="L11" s="7"/>
      <c r="M11" s="7"/>
      <c r="N11" s="7"/>
    </row>
    <row r="12" spans="2:20" ht="15.95" customHeight="1"/>
    <row r="13" spans="2:20" ht="42" customHeight="1" thickBot="1">
      <c r="B13" s="81" t="s">
        <v>36</v>
      </c>
      <c r="C13" s="82"/>
      <c r="D13" s="82"/>
      <c r="E13" s="82"/>
      <c r="F13" s="82"/>
      <c r="I13" s="81" t="s">
        <v>37</v>
      </c>
      <c r="J13" s="82"/>
      <c r="K13" s="82"/>
      <c r="L13" s="82"/>
      <c r="M13" s="82"/>
      <c r="N13" s="21"/>
    </row>
    <row r="14" spans="2:20" ht="15.75" thickBot="1">
      <c r="B14" s="42"/>
      <c r="C14" s="83" t="s">
        <v>42</v>
      </c>
      <c r="D14" s="84"/>
      <c r="E14" s="84"/>
      <c r="F14" s="85"/>
      <c r="I14" s="42"/>
      <c r="J14" s="83" t="s">
        <v>42</v>
      </c>
      <c r="K14" s="84"/>
      <c r="L14" s="84"/>
      <c r="M14" s="85"/>
      <c r="N14" s="41"/>
    </row>
    <row r="15" spans="2:20" ht="15.75" thickBot="1">
      <c r="B15" s="29" t="s">
        <v>43</v>
      </c>
      <c r="C15" s="5" t="s">
        <v>44</v>
      </c>
      <c r="D15" s="27" t="s">
        <v>45</v>
      </c>
      <c r="E15" s="26" t="s">
        <v>46</v>
      </c>
      <c r="F15" s="5" t="s">
        <v>47</v>
      </c>
      <c r="I15" s="29" t="s">
        <v>43</v>
      </c>
      <c r="J15" s="5" t="s">
        <v>44</v>
      </c>
      <c r="K15" s="27" t="s">
        <v>45</v>
      </c>
      <c r="L15" s="26" t="s">
        <v>46</v>
      </c>
      <c r="M15" s="5" t="s">
        <v>48</v>
      </c>
      <c r="N15" s="7"/>
    </row>
    <row r="16" spans="2:20" ht="15.75" thickBot="1">
      <c r="B16" s="35">
        <v>1</v>
      </c>
      <c r="C16" s="38">
        <f>'Promedios Fork'!$F16</f>
        <v>4180449.8666666667</v>
      </c>
      <c r="D16" s="38">
        <f>'Promedios OpenMP'!F16</f>
        <v>4412261.4333333336</v>
      </c>
      <c r="E16" s="19">
        <f>'Promedios Posix'!$F16</f>
        <v>3856719.0333333332</v>
      </c>
      <c r="F16" s="52">
        <f>'Promedios FilasOpenMP'!F16</f>
        <v>3066932.6333333333</v>
      </c>
      <c r="I16" s="35">
        <v>1</v>
      </c>
      <c r="J16" s="38">
        <f>'Promedios Fork'!$M16</f>
        <v>17842644.466666665</v>
      </c>
      <c r="K16" s="38">
        <f>'Promedios OpenMP'!$M16</f>
        <v>21492527.866666667</v>
      </c>
      <c r="L16" s="19">
        <f>'Promedios Posix'!$M16</f>
        <v>18041016.433333334</v>
      </c>
      <c r="M16" s="52">
        <f>'Promedios FilasOpenMP'!M16</f>
        <v>10112468.333333334</v>
      </c>
      <c r="N16" s="7"/>
    </row>
    <row r="17" spans="2:14" ht="15.75" thickBot="1">
      <c r="B17" s="36">
        <v>2</v>
      </c>
      <c r="C17" s="38">
        <f>'Promedios Fork'!$F17</f>
        <v>2340885.8666666667</v>
      </c>
      <c r="D17" s="38">
        <f>'Promedios OpenMP'!F17</f>
        <v>2330266.6333333333</v>
      </c>
      <c r="E17" s="19">
        <f>'Promedios Posix'!$F17</f>
        <v>2147555.2333333334</v>
      </c>
      <c r="F17" s="52">
        <f>'Promedios FilasOpenMP'!F17</f>
        <v>8776908.0999999996</v>
      </c>
      <c r="I17" s="36">
        <v>2</v>
      </c>
      <c r="J17" s="38">
        <f>'Promedios Fork'!$M17</f>
        <v>9457510.0666666664</v>
      </c>
      <c r="K17" s="38">
        <f>'Promedios OpenMP'!$M17</f>
        <v>11311298.766666668</v>
      </c>
      <c r="L17" s="19">
        <f>'Promedios Posix'!$M17</f>
        <v>9663883.4333333336</v>
      </c>
      <c r="M17" s="52">
        <f>'Promedios FilasOpenMP'!M17</f>
        <v>27653763.366666667</v>
      </c>
      <c r="N17" s="7"/>
    </row>
    <row r="18" spans="2:14" ht="15.75" thickBot="1">
      <c r="B18" s="35">
        <v>4</v>
      </c>
      <c r="C18" s="38">
        <f>'Promedios Fork'!$F18</f>
        <v>1558779.4</v>
      </c>
      <c r="D18" s="38">
        <f>'Promedios OpenMP'!F18</f>
        <v>1597333.7</v>
      </c>
      <c r="E18" s="19">
        <f>'Promedios Posix'!$F18</f>
        <v>1378772.2333333334</v>
      </c>
      <c r="F18" s="52">
        <f>'Promedios FilasOpenMP'!F18</f>
        <v>15083005.766666668</v>
      </c>
      <c r="I18" s="35">
        <v>4</v>
      </c>
      <c r="J18" s="38">
        <f>'Promedios Fork'!$M18</f>
        <v>6161716.833333333</v>
      </c>
      <c r="K18" s="38">
        <f>'Promedios OpenMP'!$M18</f>
        <v>6688440.5666666664</v>
      </c>
      <c r="L18" s="19">
        <f>'Promedios Posix'!$M18</f>
        <v>6308605.166666667</v>
      </c>
      <c r="M18" s="52">
        <f>'Promedios FilasOpenMP'!M18</f>
        <v>49592684.733333334</v>
      </c>
      <c r="N18" s="7"/>
    </row>
    <row r="19" spans="2:14" ht="15.75" thickBot="1">
      <c r="B19" s="35">
        <v>8</v>
      </c>
      <c r="C19" s="38">
        <f>'Promedios Fork'!$F19</f>
        <v>1033402</v>
      </c>
      <c r="D19" s="38">
        <f>'Promedios OpenMP'!F19</f>
        <v>1120623.4666666666</v>
      </c>
      <c r="E19" s="19">
        <f>'Promedios Posix'!$F19</f>
        <v>934070.4</v>
      </c>
      <c r="F19" s="52">
        <f>'Promedios FilasOpenMP'!F19</f>
        <v>20001529.733333334</v>
      </c>
      <c r="I19" s="35">
        <v>8</v>
      </c>
      <c r="J19" s="38">
        <f>'Promedios Fork'!$M19</f>
        <v>4556697.2666666666</v>
      </c>
      <c r="K19" s="38">
        <f>'Promedios OpenMP'!$M19</f>
        <v>4957719</v>
      </c>
      <c r="L19" s="19">
        <f>'Promedios Posix'!$M19</f>
        <v>4580479.166666667</v>
      </c>
      <c r="M19" s="52">
        <f>'Promedios FilasOpenMP'!M19</f>
        <v>64263107.5</v>
      </c>
      <c r="N19" s="7"/>
    </row>
    <row r="20" spans="2:14">
      <c r="B20" s="50">
        <v>10</v>
      </c>
      <c r="C20" s="38">
        <f>'Promedios Fork'!$F20</f>
        <v>939460</v>
      </c>
      <c r="D20" s="38">
        <f>'Promedios OpenMP'!F20</f>
        <v>1041796.3</v>
      </c>
      <c r="E20" s="19">
        <f>'Promedios Posix'!$F20</f>
        <v>843160.3</v>
      </c>
      <c r="F20" s="52">
        <f>'Promedios FilasOpenMP'!F20</f>
        <v>20796824.966666665</v>
      </c>
      <c r="I20" s="50">
        <v>10</v>
      </c>
      <c r="J20" s="38">
        <f>'Promedios Fork'!$M20</f>
        <v>4475665.5333333332</v>
      </c>
      <c r="K20" s="38">
        <f>'Promedios OpenMP'!$M20</f>
        <v>4913438.4000000004</v>
      </c>
      <c r="L20" s="19">
        <f>'Promedios Posix'!$M20</f>
        <v>4524992.333333333</v>
      </c>
      <c r="M20" s="52">
        <f>'Promedios FilasOpenMP'!M20</f>
        <v>60207047.600000001</v>
      </c>
      <c r="N20" s="7"/>
    </row>
    <row r="21" spans="2:14" ht="16.5" customHeight="1">
      <c r="B21" s="49"/>
      <c r="C21" s="7"/>
      <c r="D21" s="7"/>
      <c r="E21" s="7"/>
      <c r="F21" s="7"/>
      <c r="G21" s="49"/>
      <c r="H21" s="7"/>
      <c r="I21" s="7"/>
      <c r="J21" s="7"/>
      <c r="K21" s="7"/>
      <c r="L21" s="7"/>
      <c r="M21" s="7"/>
      <c r="N21" s="7"/>
    </row>
    <row r="30" spans="2:14" ht="44.1" customHeight="1"/>
  </sheetData>
  <mergeCells count="10">
    <mergeCell ref="C14:F14"/>
    <mergeCell ref="J14:M14"/>
    <mergeCell ref="P3:T3"/>
    <mergeCell ref="C4:F4"/>
    <mergeCell ref="J4:M4"/>
    <mergeCell ref="Q4:T4"/>
    <mergeCell ref="B13:F13"/>
    <mergeCell ref="I13:M13"/>
    <mergeCell ref="B3:F3"/>
    <mergeCell ref="I3:M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1FC3BC-E3DB-4B7E-BA22-1F1F02D666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luz salazar</dc:creator>
  <cp:keywords/>
  <dc:description/>
  <cp:lastModifiedBy/>
  <cp:revision/>
  <dcterms:created xsi:type="dcterms:W3CDTF">2025-05-02T00:30:48Z</dcterms:created>
  <dcterms:modified xsi:type="dcterms:W3CDTF">2025-11-14T01:08:22Z</dcterms:modified>
  <cp:category/>
  <cp:contentStatus/>
</cp:coreProperties>
</file>